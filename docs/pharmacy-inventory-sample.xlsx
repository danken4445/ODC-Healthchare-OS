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8295"/>
  </bookViews>
  <sheets>
    <sheet name="INVENTORY" sheetId="1" r:id="rId1"/>
    <sheet name="OPD MEDS" sheetId="3" r:id="rId2"/>
    <sheet name="REQUEST" sheetId="2" r:id="rId3"/>
    <sheet name="NEAR EXPI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<sst xmlns="http://schemas.openxmlformats.org/spreadsheetml/2006/main" count="2225" uniqueCount="870">
  <si>
    <t>PHARMACY DEPARTMENT WEEKLY MEDICINES and MEDICAL SUPPLIES INVENTORY</t>
  </si>
  <si>
    <r>
      <t xml:space="preserve">as of </t>
    </r>
    <r>
      <rPr>
        <b/>
        <u/>
        <sz val="16"/>
        <color theme="1"/>
        <rFont val="Bahnschrift Condensed"/>
        <charset val="134"/>
      </rPr>
      <t>OCTOBER 05, 2026</t>
    </r>
  </si>
  <si>
    <t xml:space="preserve"> MEDICINES</t>
  </si>
  <si>
    <t>GENERIC NAME</t>
  </si>
  <si>
    <t>DOSE/DOSAGE FORM</t>
  </si>
  <si>
    <t>BRAND NAME</t>
  </si>
  <si>
    <t>EXP. DATE</t>
  </si>
  <si>
    <t xml:space="preserve">LOT NO./ BATCH NO. </t>
  </si>
  <si>
    <t>DATE DELIVERED</t>
  </si>
  <si>
    <t>STOCKS RECEIVED</t>
  </si>
  <si>
    <t>TOTAL STOCKS</t>
  </si>
  <si>
    <t>ACTUAL BALANCE AS OF SEPT. 30, 2025</t>
  </si>
  <si>
    <t>QTY. DISPENSED</t>
  </si>
  <si>
    <t>ACTUAL BALANCE AS OF OCT. 05, 2026</t>
  </si>
  <si>
    <t>Acetylcysteine</t>
  </si>
  <si>
    <t>600mg Powder for Oral Solution</t>
  </si>
  <si>
    <t>CILESTINE</t>
  </si>
  <si>
    <t>Acetazolamide</t>
  </si>
  <si>
    <t>250 mg Tablet</t>
  </si>
  <si>
    <t>CETAMID</t>
  </si>
  <si>
    <t>Aciclovir</t>
  </si>
  <si>
    <t>800mg tablet</t>
  </si>
  <si>
    <t>XYCLOVIRAX</t>
  </si>
  <si>
    <t>Adenosine</t>
  </si>
  <si>
    <t>3mg/mL , 2mL vial</t>
  </si>
  <si>
    <t>TACHYBAN</t>
  </si>
  <si>
    <t>OCT. 2026</t>
  </si>
  <si>
    <t>T230541</t>
  </si>
  <si>
    <t xml:space="preserve">Allopurinol </t>
  </si>
  <si>
    <t>300mg tablet</t>
  </si>
  <si>
    <t>ALLUPREX</t>
  </si>
  <si>
    <t>Albumin, Human</t>
  </si>
  <si>
    <t>20%, 50mL IV bottle</t>
  </si>
  <si>
    <t>SEROALBUMIN</t>
  </si>
  <si>
    <t>NOV. 2026</t>
  </si>
  <si>
    <t>ALB300723</t>
  </si>
  <si>
    <t xml:space="preserve">Amikacin </t>
  </si>
  <si>
    <t xml:space="preserve">125mg/mL, 2mL ampul/vial </t>
  </si>
  <si>
    <t>COCINE</t>
  </si>
  <si>
    <t>Aluminum Hydroxide + Magnesium Hydroxide</t>
  </si>
  <si>
    <t>200mg/200mg Chewable Tablet</t>
  </si>
  <si>
    <t>ZILGAM</t>
  </si>
  <si>
    <t>DEC. 2027</t>
  </si>
  <si>
    <t>Z-47025</t>
  </si>
  <si>
    <t>200mg/100mg per 5mL, 120mL suspension</t>
  </si>
  <si>
    <t>MEDALEM</t>
  </si>
  <si>
    <t xml:space="preserve"> </t>
  </si>
  <si>
    <t>Aminophylline</t>
  </si>
  <si>
    <t>25mg/mL, 10mL ampule</t>
  </si>
  <si>
    <t>AMINOSOL</t>
  </si>
  <si>
    <t>Amiodarone</t>
  </si>
  <si>
    <t>200mg Tablet</t>
  </si>
  <si>
    <t>TRIODONE</t>
  </si>
  <si>
    <t>50mg/mL, 3mL ampule</t>
  </si>
  <si>
    <t>EURYTHYMIC</t>
  </si>
  <si>
    <t>Amlodipine.</t>
  </si>
  <si>
    <t>5mg tablet</t>
  </si>
  <si>
    <t>GENERIC</t>
  </si>
  <si>
    <t>10mg tablet</t>
  </si>
  <si>
    <t>AMLOTHIN</t>
  </si>
  <si>
    <t xml:space="preserve">Amoxicillin </t>
  </si>
  <si>
    <t>100mg/ml powder for suspension (oral drops), 10mL</t>
  </si>
  <si>
    <t xml:space="preserve">AXMEL </t>
  </si>
  <si>
    <t>FEB. 2027</t>
  </si>
  <si>
    <t>061ABB</t>
  </si>
  <si>
    <t>Amoxicillin</t>
  </si>
  <si>
    <t>250mg/5mL granules/powder for suspension, 60mL</t>
  </si>
  <si>
    <t>Amoxicillin.</t>
  </si>
  <si>
    <t>500mg capsule</t>
  </si>
  <si>
    <t>EPPITREXIL</t>
  </si>
  <si>
    <t>Ampicillin</t>
  </si>
  <si>
    <t>250mg Vial</t>
  </si>
  <si>
    <t>LIFERZIN</t>
  </si>
  <si>
    <t xml:space="preserve">Ampicillin </t>
  </si>
  <si>
    <t>500 mg  Vial</t>
  </si>
  <si>
    <t>CORPOLYN</t>
  </si>
  <si>
    <t xml:space="preserve">Ampicillin + Sulbactam </t>
  </si>
  <si>
    <t>500mg ampicillin+250mg sulbactam per vial</t>
  </si>
  <si>
    <t>AMSUMED</t>
  </si>
  <si>
    <t>1000mg ampicillin+500mg sulbactam per vial</t>
  </si>
  <si>
    <t>BACTISUL</t>
  </si>
  <si>
    <t>Anti-Rabies Serum (EQUINE)</t>
  </si>
  <si>
    <t>200 IU/mL, 5mL vial</t>
  </si>
  <si>
    <t xml:space="preserve">Atorvastatin </t>
  </si>
  <si>
    <t>20mg tablet</t>
  </si>
  <si>
    <t>LIPIBLAC</t>
  </si>
  <si>
    <t>DEC. 2026</t>
  </si>
  <si>
    <t>PH-2418</t>
  </si>
  <si>
    <t>LESTOR</t>
  </si>
  <si>
    <t>40mg tablet</t>
  </si>
  <si>
    <t>VAZI2R</t>
  </si>
  <si>
    <t>80mg tablet</t>
  </si>
  <si>
    <t>FREDTOR</t>
  </si>
  <si>
    <t>Ascorbic Acid (Vitamin C)</t>
  </si>
  <si>
    <t>500mg tablet</t>
  </si>
  <si>
    <t>APCEE</t>
  </si>
  <si>
    <t>100mg/mL, 15mL Oral Drops</t>
  </si>
  <si>
    <t>VITCEE</t>
  </si>
  <si>
    <t>100mg/5mL, 120mL Syrup</t>
  </si>
  <si>
    <t>MYREVIT-C</t>
  </si>
  <si>
    <t>Aspirin</t>
  </si>
  <si>
    <t>80 mg tablet</t>
  </si>
  <si>
    <t>SCHEEPRIN</t>
  </si>
  <si>
    <t>Atropine sulfate</t>
  </si>
  <si>
    <t>1mg/mL , 1mL Ampule</t>
  </si>
  <si>
    <t>TROPIN</t>
  </si>
  <si>
    <t>ATS</t>
  </si>
  <si>
    <t>1,500 ‘U’/0.7mL Amp.</t>
  </si>
  <si>
    <t>SHARJVAX</t>
  </si>
  <si>
    <t xml:space="preserve">ATS </t>
  </si>
  <si>
    <t>3,000 ‘U’/0.95mL Amp.</t>
  </si>
  <si>
    <t>ANTITET</t>
  </si>
  <si>
    <t>5,000 ‘U’/2mL Ampule</t>
  </si>
  <si>
    <t>Azithromycin</t>
  </si>
  <si>
    <t>500mg powder vial</t>
  </si>
  <si>
    <t>AZISAPH</t>
  </si>
  <si>
    <t>500 mg Tablet</t>
  </si>
  <si>
    <t>AZITHRONOVA</t>
  </si>
  <si>
    <t>Benzathine Benzylpenicillin</t>
  </si>
  <si>
    <t>1.2M units Vial</t>
  </si>
  <si>
    <t>-</t>
  </si>
  <si>
    <t>Betahistine</t>
  </si>
  <si>
    <t>16 mg Tablet</t>
  </si>
  <si>
    <t>HISTAKON</t>
  </si>
  <si>
    <t>24 mg Tablet</t>
  </si>
  <si>
    <t>VERTISAPH-24</t>
  </si>
  <si>
    <t>Betamethasone</t>
  </si>
  <si>
    <t>1MG/G (0.1% w/w) Cream</t>
  </si>
  <si>
    <t>BETNOCHEM</t>
  </si>
  <si>
    <t>Budesonide</t>
  </si>
  <si>
    <t>250mcg/mL, 2mL Nebule</t>
  </si>
  <si>
    <t>RESPI-SAPH</t>
  </si>
  <si>
    <t>Calcium Gluconate</t>
  </si>
  <si>
    <t>10%, 10mL ampul/vial</t>
  </si>
  <si>
    <t>CCG231108</t>
  </si>
  <si>
    <t xml:space="preserve">Calcium Carbonate + Cholecalciferol </t>
  </si>
  <si>
    <t>500mg Capsule</t>
  </si>
  <si>
    <t>AMBICAL PLUS</t>
  </si>
  <si>
    <t>Carboprost 125.</t>
  </si>
  <si>
    <t>125mcg/0.5mL solution for injection, 0.5mL ampul/vial</t>
  </si>
  <si>
    <t>Carboprost 250.</t>
  </si>
  <si>
    <t>250mcg/1mL solution for injection, 1mL ampul/vial</t>
  </si>
  <si>
    <t>EVAPROST</t>
  </si>
  <si>
    <t>Cefalexin</t>
  </si>
  <si>
    <t>EDIXIN</t>
  </si>
  <si>
    <t>Cefazolin</t>
  </si>
  <si>
    <t>1g Vial</t>
  </si>
  <si>
    <t>PHIZOLIN</t>
  </si>
  <si>
    <t>Cefotaxime</t>
  </si>
  <si>
    <t>TOXIM</t>
  </si>
  <si>
    <t>Ceftazidime</t>
  </si>
  <si>
    <t>CEFTEBAS</t>
  </si>
  <si>
    <t>Cefoxitin</t>
  </si>
  <si>
    <t>BELESOFOXITIN</t>
  </si>
  <si>
    <t>JAN. 2027</t>
  </si>
  <si>
    <t>MC23174</t>
  </si>
  <si>
    <t>TREXIN</t>
  </si>
  <si>
    <t>C25F-20</t>
  </si>
  <si>
    <t xml:space="preserve">Ceftriaxone </t>
  </si>
  <si>
    <t>1G Powdered Vial</t>
  </si>
  <si>
    <t>CEFTRINOVA 1000</t>
  </si>
  <si>
    <t xml:space="preserve">Cefuroxime </t>
  </si>
  <si>
    <t>750 mg  Vial</t>
  </si>
  <si>
    <t>EROXIME</t>
  </si>
  <si>
    <t>Cefuroxime</t>
  </si>
  <si>
    <t>EROXIM-500</t>
  </si>
  <si>
    <t>125mg/5mL powder for suspension, 60mL</t>
  </si>
  <si>
    <t>HIROXIME-125</t>
  </si>
  <si>
    <t>Celecoxib</t>
  </si>
  <si>
    <t>200 mg Capsule</t>
  </si>
  <si>
    <t>EMICOX</t>
  </si>
  <si>
    <t xml:space="preserve">Celecoxib </t>
  </si>
  <si>
    <t>400mg Capsule</t>
  </si>
  <si>
    <t>EMICOX-400</t>
  </si>
  <si>
    <t>DA0213</t>
  </si>
  <si>
    <t xml:space="preserve">Cetirizine </t>
  </si>
  <si>
    <t>2.5mg/mL, 10mL Oral Drops</t>
  </si>
  <si>
    <t>ZETRINX</t>
  </si>
  <si>
    <t>Cetirizine</t>
  </si>
  <si>
    <t>5mg/5mL, 60mL Bottle</t>
  </si>
  <si>
    <t>MEDRIZINE</t>
  </si>
  <si>
    <t xml:space="preserve">Chlorpheneramine Maleate </t>
  </si>
  <si>
    <t>10 mg/ml, 1mL Ampule/vial</t>
  </si>
  <si>
    <t>Ciprofloxacin</t>
  </si>
  <si>
    <t xml:space="preserve">2mg/mL, 100mL vial </t>
  </si>
  <si>
    <t>PROLAXA</t>
  </si>
  <si>
    <t>Clarithromycin</t>
  </si>
  <si>
    <t>CLARITROL</t>
  </si>
  <si>
    <t>D0104</t>
  </si>
  <si>
    <t xml:space="preserve">125mg/5mL granules for suspension, 60mL </t>
  </si>
  <si>
    <t>ACCETHROM</t>
  </si>
  <si>
    <t>NOV. 2027</t>
  </si>
  <si>
    <t>250mg/5mL granules/powder for suspension, 50mL</t>
  </si>
  <si>
    <t xml:space="preserve">Clindamycin </t>
  </si>
  <si>
    <t>300 mg Capsule</t>
  </si>
  <si>
    <t>CLIN-GEN</t>
  </si>
  <si>
    <t>ZKB117</t>
  </si>
  <si>
    <t>CLINDAGOLD</t>
  </si>
  <si>
    <t>AUG. 2027</t>
  </si>
  <si>
    <t>Clindamycin</t>
  </si>
  <si>
    <t>150mg/mL, 2mL ampule</t>
  </si>
  <si>
    <t>PORSCLINDA</t>
  </si>
  <si>
    <t>150mg/mL, 4mL ampule</t>
  </si>
  <si>
    <t>Clopidogrel</t>
  </si>
  <si>
    <t>75 mg Tablet</t>
  </si>
  <si>
    <t>CLOGEOVIX</t>
  </si>
  <si>
    <t>CL0402</t>
  </si>
  <si>
    <t>Clonidine HCl</t>
  </si>
  <si>
    <t>150 mcg/mL, 1mL Ampule</t>
  </si>
  <si>
    <t>CLONISUR</t>
  </si>
  <si>
    <t>GN2765</t>
  </si>
  <si>
    <t>75 mcg tab</t>
  </si>
  <si>
    <t>CLONISAPH-75</t>
  </si>
  <si>
    <t>150mcg tablet</t>
  </si>
  <si>
    <t>CLODIN</t>
  </si>
  <si>
    <t>Co-Amoxiclav</t>
  </si>
  <si>
    <t xml:space="preserve">500mg amoxicillin+125mg potassium clavulanate per tab. </t>
  </si>
  <si>
    <t xml:space="preserve">312.5mg per 5mL powder for suspension, 60mL </t>
  </si>
  <si>
    <t>AUGMEED 312.5</t>
  </si>
  <si>
    <t xml:space="preserve">250mg amoxicillin+62.5mg potassium clavulanate per 5mL powder for suspension, 60mL </t>
  </si>
  <si>
    <t>MIXCLAV</t>
  </si>
  <si>
    <t>ABX34006</t>
  </si>
  <si>
    <t xml:space="preserve">Dexamethasone </t>
  </si>
  <si>
    <t>4mg/mL 2mL Ampule/vial</t>
  </si>
  <si>
    <t>MOHSIDEX</t>
  </si>
  <si>
    <t>Diclofenac Sodium</t>
  </si>
  <si>
    <t>25 mg/ml, 3mL Ampule</t>
  </si>
  <si>
    <t>DIFLOSID</t>
  </si>
  <si>
    <t xml:space="preserve">Digoxin </t>
  </si>
  <si>
    <t>250 mcg/ml, 2mL Ampule</t>
  </si>
  <si>
    <t>LIGOXIN</t>
  </si>
  <si>
    <t>Digoxin</t>
  </si>
  <si>
    <t>250 mcg Tablet</t>
  </si>
  <si>
    <t>DIXIN</t>
  </si>
  <si>
    <t>Diphenhydramine</t>
  </si>
  <si>
    <t>50 mg/ml, 1mL Ampule</t>
  </si>
  <si>
    <t>DIPHENPHROS</t>
  </si>
  <si>
    <t>GN2467</t>
  </si>
  <si>
    <t>Dobutamine</t>
  </si>
  <si>
    <t>250mg/20mL, 20mL Ampule</t>
  </si>
  <si>
    <t>PREDOBUT</t>
  </si>
  <si>
    <t>Dopamine.</t>
  </si>
  <si>
    <t>40 mg/mL 5mL Amp.</t>
  </si>
  <si>
    <t>DOPTREX</t>
  </si>
  <si>
    <t>Enoxaparin</t>
  </si>
  <si>
    <t>100mg/mL, 0.4mL pre-filled syringe</t>
  </si>
  <si>
    <t>NOXPRIVEX</t>
  </si>
  <si>
    <t xml:space="preserve">Epinephrine </t>
  </si>
  <si>
    <t>1mg/ml 1mL Ampule</t>
  </si>
  <si>
    <t>Erythromycin</t>
  </si>
  <si>
    <t>0.55%, 5g opthalmic ointment</t>
  </si>
  <si>
    <t>EROXENE</t>
  </si>
  <si>
    <t>Esmolol Hydrochloride</t>
  </si>
  <si>
    <t xml:space="preserve">10mg/ml (100mg/10ml) </t>
  </si>
  <si>
    <t>ESOBLOC</t>
  </si>
  <si>
    <t>Famotidine</t>
  </si>
  <si>
    <t>20mg powdered vial</t>
  </si>
  <si>
    <t>Furosemide</t>
  </si>
  <si>
    <t>10 mg/ml 2mL Amp.</t>
  </si>
  <si>
    <t>Furosemide.</t>
  </si>
  <si>
    <t>40mg/ Tablet</t>
  </si>
  <si>
    <t>UROMID</t>
  </si>
  <si>
    <t>JAN. 2028</t>
  </si>
  <si>
    <t>EB0176</t>
  </si>
  <si>
    <t xml:space="preserve">Gentamicin </t>
  </si>
  <si>
    <t>40mg/mL 2mL Ampule</t>
  </si>
  <si>
    <t>GENTACARE</t>
  </si>
  <si>
    <t>Gliclazide</t>
  </si>
  <si>
    <t>60mg Tablet</t>
  </si>
  <si>
    <t>GILFRED MR</t>
  </si>
  <si>
    <t>SEPT. 2027</t>
  </si>
  <si>
    <t>DJ0050</t>
  </si>
  <si>
    <t>Haloperidol</t>
  </si>
  <si>
    <t>PERIDOL</t>
  </si>
  <si>
    <t>24PE24T02</t>
  </si>
  <si>
    <t xml:space="preserve">5mg/mL, 1mL amp. </t>
  </si>
  <si>
    <t>SEREDOL</t>
  </si>
  <si>
    <t xml:space="preserve">Hydralazine </t>
  </si>
  <si>
    <t>20mg/mL 1mL Amp.</t>
  </si>
  <si>
    <t>SAPHARIN</t>
  </si>
  <si>
    <t>Hydrocortisone</t>
  </si>
  <si>
    <t>50mg/mL , 2mL, 100mg  vial</t>
  </si>
  <si>
    <t>QORTISOL</t>
  </si>
  <si>
    <t xml:space="preserve">Hydrocortisone </t>
  </si>
  <si>
    <t>10mg/g Cream</t>
  </si>
  <si>
    <t>DEC. 2028</t>
  </si>
  <si>
    <t>24HCN-15</t>
  </si>
  <si>
    <t>125mg/mL, 2mL, 250mg vial</t>
  </si>
  <si>
    <t>STERICORT</t>
  </si>
  <si>
    <t xml:space="preserve">Hydroxyethyl Starch </t>
  </si>
  <si>
    <t>500 ml Bag</t>
  </si>
  <si>
    <t>Hyoscine-N-Butylbromide</t>
  </si>
  <si>
    <t>20 mg/ml 1mL Ampule</t>
  </si>
  <si>
    <t xml:space="preserve">IOHEXOL </t>
  </si>
  <si>
    <t>647mg/ml (300mg/ml) non-ionic radiocontrast media</t>
  </si>
  <si>
    <t>OMNIHEXOL</t>
  </si>
  <si>
    <t>Iron</t>
  </si>
  <si>
    <t>30mg/5mL syrup., 60mL</t>
  </si>
  <si>
    <t>FEROLEM</t>
  </si>
  <si>
    <t>Isosorbide Dintrate</t>
  </si>
  <si>
    <t>5mg Tablet</t>
  </si>
  <si>
    <t>Isoxsuprine</t>
  </si>
  <si>
    <t>5mg/mL 2mL Ampule</t>
  </si>
  <si>
    <t>ISOXULIDE</t>
  </si>
  <si>
    <t>OCT. 2027</t>
  </si>
  <si>
    <t>AA241004A</t>
  </si>
  <si>
    <t>1mg/mL 10mL Ampule</t>
  </si>
  <si>
    <t>FARSORBID</t>
  </si>
  <si>
    <t>Ipratropium+ Salbutamol</t>
  </si>
  <si>
    <t>250mcg/5mcg Neb.</t>
  </si>
  <si>
    <t>IPRAVENT</t>
  </si>
  <si>
    <t>Ketorolac</t>
  </si>
  <si>
    <t>30mg/mL 1mL Ampule</t>
  </si>
  <si>
    <t>LABTABLOCK</t>
  </si>
  <si>
    <t>Ketoconazole</t>
  </si>
  <si>
    <t>2%, 15g oinment</t>
  </si>
  <si>
    <t>KETSOKANT</t>
  </si>
  <si>
    <t>Lactulose</t>
  </si>
  <si>
    <t>3.35G/5ML Oral Solution</t>
  </si>
  <si>
    <t>LACTUCARE</t>
  </si>
  <si>
    <t>Levetiracetam</t>
  </si>
  <si>
    <t>500mg/5mL (100mg/mL) vial</t>
  </si>
  <si>
    <t>MASOLEV</t>
  </si>
  <si>
    <t>1g tablet</t>
  </si>
  <si>
    <t>JULITAM</t>
  </si>
  <si>
    <t>500 mg tablet</t>
  </si>
  <si>
    <t>LEVETRAMED-500</t>
  </si>
  <si>
    <t>A240801</t>
  </si>
  <si>
    <t>A250402</t>
  </si>
  <si>
    <t>250mg tablet</t>
  </si>
  <si>
    <t>IVETRA 250</t>
  </si>
  <si>
    <t>Levofloxacin.</t>
  </si>
  <si>
    <t>5mg/mL, 100mL vial</t>
  </si>
  <si>
    <t>LEVAXA</t>
  </si>
  <si>
    <t xml:space="preserve">Levofloxacin </t>
  </si>
  <si>
    <t>500mng tablet</t>
  </si>
  <si>
    <t>LENOXA</t>
  </si>
  <si>
    <t xml:space="preserve">Levothyroxine </t>
  </si>
  <si>
    <t>50mcg Tablet</t>
  </si>
  <si>
    <t>FORHYPO</t>
  </si>
  <si>
    <t>100 mcg tablet</t>
  </si>
  <si>
    <t>AR4050A</t>
  </si>
  <si>
    <t>Losartan</t>
  </si>
  <si>
    <t>50 mg tab</t>
  </si>
  <si>
    <t>LOSAAR 50</t>
  </si>
  <si>
    <t>100 mg tab</t>
  </si>
  <si>
    <t>LOSAAR 100</t>
  </si>
  <si>
    <t>Mannitol 500 mL</t>
  </si>
  <si>
    <t>20%, 400mL bottle</t>
  </si>
  <si>
    <t>N/A</t>
  </si>
  <si>
    <t xml:space="preserve">Magnesium Sulfate </t>
  </si>
  <si>
    <t>250 mg/ml 10mL ampule</t>
  </si>
  <si>
    <t>250 mg/ml 20mL Vial</t>
  </si>
  <si>
    <t>Mefenamic Acid</t>
  </si>
  <si>
    <t>500 mg Capsule</t>
  </si>
  <si>
    <t>MEGYXAN</t>
  </si>
  <si>
    <t xml:space="preserve">Metoclopramide  </t>
  </si>
  <si>
    <t>5mg/mL , 2mL Ampule</t>
  </si>
  <si>
    <t>METOCLOSIL</t>
  </si>
  <si>
    <t xml:space="preserve">Metronidazole </t>
  </si>
  <si>
    <t>METRONOVA</t>
  </si>
  <si>
    <t xml:space="preserve">Methylprednisolone </t>
  </si>
  <si>
    <t>16mg tablet</t>
  </si>
  <si>
    <t>METHYDEN</t>
  </si>
  <si>
    <t>Metoprolol.</t>
  </si>
  <si>
    <t xml:space="preserve">50mg tablet  </t>
  </si>
  <si>
    <t>METOCARD</t>
  </si>
  <si>
    <t>100mg tablet</t>
  </si>
  <si>
    <t>LOPREXO</t>
  </si>
  <si>
    <t>Metronidazole</t>
  </si>
  <si>
    <t>MEDIZOLE</t>
  </si>
  <si>
    <t>Multivitamins</t>
  </si>
  <si>
    <t>15mL oral drops</t>
  </si>
  <si>
    <t>MYREVIT</t>
  </si>
  <si>
    <t>120mL Syrup</t>
  </si>
  <si>
    <t>MULTILEM</t>
  </si>
  <si>
    <t xml:space="preserve">Mupirocin </t>
  </si>
  <si>
    <t>2%, 5g tube</t>
  </si>
  <si>
    <t>MICROSCOT</t>
  </si>
  <si>
    <t>Nicardipine</t>
  </si>
  <si>
    <t xml:space="preserve">1mg/mL, 10mL amp. </t>
  </si>
  <si>
    <t>NICARSAPH</t>
  </si>
  <si>
    <t xml:space="preserve">Norepinephrine </t>
  </si>
  <si>
    <t>1 mg/ml, 2mL Ampule</t>
  </si>
  <si>
    <t>NOREPORS</t>
  </si>
  <si>
    <t xml:space="preserve">Nimodipine </t>
  </si>
  <si>
    <t>30mg tablet</t>
  </si>
  <si>
    <t>NIMOTOP</t>
  </si>
  <si>
    <t xml:space="preserve">Nystatin </t>
  </si>
  <si>
    <t>100,000 U/mL Oral Suspension</t>
  </si>
  <si>
    <t>Z-NYST</t>
  </si>
  <si>
    <t>Omeprazole</t>
  </si>
  <si>
    <t>40mg Powdered Vial</t>
  </si>
  <si>
    <t>Olanzapine</t>
  </si>
  <si>
    <t>10mg Orodispersible tablet</t>
  </si>
  <si>
    <t>OLZITEC</t>
  </si>
  <si>
    <t xml:space="preserve">Omeprazole </t>
  </si>
  <si>
    <t>40 mg Capsule</t>
  </si>
  <si>
    <t>OMEPRASAPH</t>
  </si>
  <si>
    <t>Oral Rehydration Salts</t>
  </si>
  <si>
    <t>Sachet</t>
  </si>
  <si>
    <t>AMBILYTE</t>
  </si>
  <si>
    <t>Oxacillin</t>
  </si>
  <si>
    <t>500mg Vial</t>
  </si>
  <si>
    <t>OXAVIN</t>
  </si>
  <si>
    <t xml:space="preserve">Oxytocin </t>
  </si>
  <si>
    <t>10 mg/mL , 1mL Ampule</t>
  </si>
  <si>
    <t>AMBTOCYN</t>
  </si>
  <si>
    <t>Oxytetracycline HCl Polymyxin B Sulfate</t>
  </si>
  <si>
    <t>5mg+10,000 units/g ophthalmic ointment</t>
  </si>
  <si>
    <t>TERRAMYCIN</t>
  </si>
  <si>
    <t>Pantoprazole</t>
  </si>
  <si>
    <t>40 mg Powdered Vial</t>
  </si>
  <si>
    <t>RESTON</t>
  </si>
  <si>
    <t>Potassium Chloride</t>
  </si>
  <si>
    <t>2 mEq/mL, 10mL Ampule</t>
  </si>
  <si>
    <t>600 mg Tablet</t>
  </si>
  <si>
    <t>K-LYTE</t>
  </si>
  <si>
    <t>Paracetamol</t>
  </si>
  <si>
    <t>500mg tab</t>
  </si>
  <si>
    <t>PHILPARA</t>
  </si>
  <si>
    <t>FEB. 2028</t>
  </si>
  <si>
    <t xml:space="preserve">Paracetamol </t>
  </si>
  <si>
    <t>150mg/mL, 2mL Ampule</t>
  </si>
  <si>
    <t>AMCETAM</t>
  </si>
  <si>
    <t>250mg/5mL 60mL suspension</t>
  </si>
  <si>
    <t>PARA250</t>
  </si>
  <si>
    <t>120mg/5mL 60mL suspension</t>
  </si>
  <si>
    <t>100mg/mL 15mL drops</t>
  </si>
  <si>
    <t>NOVAMOL</t>
  </si>
  <si>
    <t xml:space="preserve">Penicillin G Crystalline </t>
  </si>
  <si>
    <t>1,000,000 units vial</t>
  </si>
  <si>
    <t>BIOPHEN</t>
  </si>
  <si>
    <t xml:space="preserve">5,000,000 units vial </t>
  </si>
  <si>
    <t>Phenytoin</t>
  </si>
  <si>
    <t>50 mg/mL 2mL amp</t>
  </si>
  <si>
    <t>Phytomenadione</t>
  </si>
  <si>
    <t>10 mg/ml 1mL Ampule</t>
  </si>
  <si>
    <t>PHYTOBAS</t>
  </si>
  <si>
    <t xml:space="preserve">Piperacillin+Tazobactam </t>
  </si>
  <si>
    <t>4g piperacillin+500mg tazobactam per vial</t>
  </si>
  <si>
    <t>PHILTAM</t>
  </si>
  <si>
    <t xml:space="preserve">750mg Sustained release Tab. </t>
  </si>
  <si>
    <t>ELECTAB</t>
  </si>
  <si>
    <t>Prednisone</t>
  </si>
  <si>
    <t>PRESONE</t>
  </si>
  <si>
    <t>5F218</t>
  </si>
  <si>
    <t>Propranolol</t>
  </si>
  <si>
    <t>NOV. 2028</t>
  </si>
  <si>
    <t>3K52</t>
  </si>
  <si>
    <t xml:space="preserve">Propylthiouracil </t>
  </si>
  <si>
    <t>50mg tablet</t>
  </si>
  <si>
    <t>Rabies Vaccine, Purified Vero Cell</t>
  </si>
  <si>
    <t>2.5IU/0.5mL vial</t>
  </si>
  <si>
    <t>ABHAYRAB</t>
  </si>
  <si>
    <t>Ranitidine</t>
  </si>
  <si>
    <t>25mg/mL 2mL Ampule</t>
  </si>
  <si>
    <t>ZENTEK</t>
  </si>
  <si>
    <t>Regular, Insulin (rDNA human)</t>
  </si>
  <si>
    <t>Vial</t>
  </si>
  <si>
    <t>SCILIN N</t>
  </si>
  <si>
    <t xml:space="preserve">Risperidone </t>
  </si>
  <si>
    <t>2mg tablet</t>
  </si>
  <si>
    <t>RISPERMAX</t>
  </si>
  <si>
    <t>Rosuvastatin</t>
  </si>
  <si>
    <t>ROSUVIN 20</t>
  </si>
  <si>
    <t>Sacubitril-Valsartan</t>
  </si>
  <si>
    <t>100mg Tablet</t>
  </si>
  <si>
    <t>ENTRESTO</t>
  </si>
  <si>
    <t>THKE3</t>
  </si>
  <si>
    <t>Salbutamol</t>
  </si>
  <si>
    <t>1mg/mL, 2.5mL Nebule</t>
  </si>
  <si>
    <t>SALBUSAPH</t>
  </si>
  <si>
    <t>Sertraline</t>
  </si>
  <si>
    <t>STRAVIX</t>
  </si>
  <si>
    <t>A24100A</t>
  </si>
  <si>
    <t>Silver sulfadiazine</t>
  </si>
  <si>
    <t>10mg/g 20G Ointment</t>
  </si>
  <si>
    <t>RETASILDEX</t>
  </si>
  <si>
    <t>Simvastatin</t>
  </si>
  <si>
    <t>20mg Tablet</t>
  </si>
  <si>
    <t>DIASTATIN</t>
  </si>
  <si>
    <t>40mg Tablet</t>
  </si>
  <si>
    <t>Sodium Bicarbonate.</t>
  </si>
  <si>
    <t>1 mEq/mL, 20mL ampule</t>
  </si>
  <si>
    <t>ROYALENATE</t>
  </si>
  <si>
    <t>Sodium Chloride</t>
  </si>
  <si>
    <t>2.5MEq/mL 20mL vial</t>
  </si>
  <si>
    <t>Spironolactone</t>
  </si>
  <si>
    <t>25mg tablet</t>
  </si>
  <si>
    <t>SPIROPHIL</t>
  </si>
  <si>
    <t>SPIRODEN</t>
  </si>
  <si>
    <t xml:space="preserve">Tetanus Toxoid </t>
  </si>
  <si>
    <t>0.5 ml Ampule</t>
  </si>
  <si>
    <t>ABHAY-TOX</t>
  </si>
  <si>
    <t xml:space="preserve">Tramadol </t>
  </si>
  <si>
    <t>50mg/mL, 1ml ampule</t>
  </si>
  <si>
    <t>AMBIDOL</t>
  </si>
  <si>
    <t>Tranexamic Acid</t>
  </si>
  <si>
    <t>100mg/mL, 5ml Ampule</t>
  </si>
  <si>
    <t>HEMOBAS</t>
  </si>
  <si>
    <t xml:space="preserve">Thiamazole </t>
  </si>
  <si>
    <t>METHIMAX</t>
  </si>
  <si>
    <t>Tobramycin</t>
  </si>
  <si>
    <t>3mg/mL (0.3% w/v) Opthalmic Solution (Drops)</t>
  </si>
  <si>
    <t>TPBRAZIN</t>
  </si>
  <si>
    <t>X04I008</t>
  </si>
  <si>
    <t>Tobramycin + Dexamethasone</t>
  </si>
  <si>
    <t>3mg/mL Opthalmic Suspension</t>
  </si>
  <si>
    <t>ACCETODEX</t>
  </si>
  <si>
    <t xml:space="preserve">Tranexamic Acid </t>
  </si>
  <si>
    <t>500 mg capsule</t>
  </si>
  <si>
    <t>TRANEXT</t>
  </si>
  <si>
    <t xml:space="preserve">Valproic Acid </t>
  </si>
  <si>
    <t>250mg/5mL Syrup</t>
  </si>
  <si>
    <t>ENCORATE</t>
  </si>
  <si>
    <t>Vitamin B1, B6, B12</t>
  </si>
  <si>
    <t xml:space="preserve">100mg B1+ 100mg B6+ 1mg B12 per 3mL ampule </t>
  </si>
  <si>
    <t>NEUROBE</t>
  </si>
  <si>
    <t>100mg/5mg/50mcg Tablet</t>
  </si>
  <si>
    <t>NERVITA100</t>
  </si>
  <si>
    <t>15 600</t>
  </si>
  <si>
    <t xml:space="preserve">Warfarin </t>
  </si>
  <si>
    <t>2.5mg tablet</t>
  </si>
  <si>
    <t>Warfarin</t>
  </si>
  <si>
    <t>Zinc Sulfate</t>
  </si>
  <si>
    <t>10mg/mL, 15mL oral drops</t>
  </si>
  <si>
    <t>ZINLUM</t>
  </si>
  <si>
    <t>20mg/5mL. 60mL Bottle</t>
  </si>
  <si>
    <t>DANGEROUS DRUGS</t>
  </si>
  <si>
    <t>Diazepam</t>
  </si>
  <si>
    <t>5mg/mL, 2mL amp.</t>
  </si>
  <si>
    <t>VALZEPAM</t>
  </si>
  <si>
    <t>Ephedrine Sulfate</t>
  </si>
  <si>
    <t>50mg/ml, 1mL amp.</t>
  </si>
  <si>
    <t>Fentanyl</t>
  </si>
  <si>
    <t>50mcg/mL, 2mL amp.</t>
  </si>
  <si>
    <t>SUBLIMAX</t>
  </si>
  <si>
    <t xml:space="preserve">Ketamine </t>
  </si>
  <si>
    <t>50mg/ml, 10mL vial</t>
  </si>
  <si>
    <t>ETAMINE</t>
  </si>
  <si>
    <t>Midazolam</t>
  </si>
  <si>
    <t>5mg/ml, 1mL amp.</t>
  </si>
  <si>
    <t>DORMIZIN</t>
  </si>
  <si>
    <t>Morphine Sulfate</t>
  </si>
  <si>
    <t xml:space="preserve">10mg./ml, 1mL amp. </t>
  </si>
  <si>
    <t xml:space="preserve">Nalbuphine </t>
  </si>
  <si>
    <t>10mg./ml, 1mL amp.</t>
  </si>
  <si>
    <t>NUKAINE</t>
  </si>
  <si>
    <t>ANESTHESIA MEDICINES</t>
  </si>
  <si>
    <t xml:space="preserve">Atracurium </t>
  </si>
  <si>
    <t>10mg/mL 2.5mL Vial</t>
  </si>
  <si>
    <t>ACURIUM</t>
  </si>
  <si>
    <t>Bupivacaine Heavy</t>
  </si>
  <si>
    <t>0.5% 4mL ampul (spinal) with 8% dextrose</t>
  </si>
  <si>
    <t>BUPILON</t>
  </si>
  <si>
    <t>Bupivacaine Isobaric</t>
  </si>
  <si>
    <t>0.5% (Isobaric), 5mL ampul (spinal)</t>
  </si>
  <si>
    <t>BUPISAPH</t>
  </si>
  <si>
    <t>Butorphanol</t>
  </si>
  <si>
    <t>2mg/mL 1mL ampule</t>
  </si>
  <si>
    <t>ZINOL</t>
  </si>
  <si>
    <t>Lidocaine HCl</t>
  </si>
  <si>
    <t>2% (20mg/mL), 5mL ampule</t>
  </si>
  <si>
    <t>EUROCAINE</t>
  </si>
  <si>
    <t xml:space="preserve">Lidocaine+Epinephrine </t>
  </si>
  <si>
    <t>20mg/10mcg per mL, (36mg/18mcg), 1.8mL amp.</t>
  </si>
  <si>
    <t>XYLODENT</t>
  </si>
  <si>
    <t>Neostigmine</t>
  </si>
  <si>
    <t>500mcg/mL, 10mL vial</t>
  </si>
  <si>
    <t>GOSTIGMINE</t>
  </si>
  <si>
    <t xml:space="preserve">Ondansetron </t>
  </si>
  <si>
    <t>2mg/ml 2ml vial</t>
  </si>
  <si>
    <t>ACCETRON</t>
  </si>
  <si>
    <t>10mg/mL 100mL vial</t>
  </si>
  <si>
    <t>PARASTAR IV</t>
  </si>
  <si>
    <t>Propofol</t>
  </si>
  <si>
    <t>10mg/mL 20mL vial</t>
  </si>
  <si>
    <t>HYPRO</t>
  </si>
  <si>
    <t>PF12671B</t>
  </si>
  <si>
    <t>Rocuronium</t>
  </si>
  <si>
    <t>10mg/mL 5mL Vial</t>
  </si>
  <si>
    <t>ROCUGET</t>
  </si>
  <si>
    <t>Sevoflurane</t>
  </si>
  <si>
    <t>250mL Bottle</t>
  </si>
  <si>
    <t>THEREMAX</t>
  </si>
  <si>
    <t>OCT. 2028</t>
  </si>
  <si>
    <t>R64G24A</t>
  </si>
  <si>
    <t xml:space="preserve">Sugammadex </t>
  </si>
  <si>
    <t xml:space="preserve">100mg/ml 2mL </t>
  </si>
  <si>
    <t>KONTRA</t>
  </si>
  <si>
    <t>Suxamethonium</t>
  </si>
  <si>
    <t>20mg/mL,10mL ampule</t>
  </si>
  <si>
    <t>ANEKTIL</t>
  </si>
  <si>
    <t>FAST MOVING INTRAVENOUS FLUIDS</t>
  </si>
  <si>
    <t>0.9% NaCl Solution for Irrigation 1L</t>
  </si>
  <si>
    <t>Bottle</t>
  </si>
  <si>
    <t xml:space="preserve">D10 Water </t>
  </si>
  <si>
    <t>500ML Bottle</t>
  </si>
  <si>
    <t>D10 Water 1L</t>
  </si>
  <si>
    <t>D5 0.3% NaCl 1L</t>
  </si>
  <si>
    <t>D5 IMB 1L</t>
  </si>
  <si>
    <t>D5 NM 1L</t>
  </si>
  <si>
    <t>D5 NSS 1L</t>
  </si>
  <si>
    <t>051662</t>
  </si>
  <si>
    <t>D5 Water</t>
  </si>
  <si>
    <t>D50 Water 50 mL.</t>
  </si>
  <si>
    <t xml:space="preserve">   </t>
  </si>
  <si>
    <t>D5LR</t>
  </si>
  <si>
    <t>1L Bottle</t>
  </si>
  <si>
    <t>PLR</t>
  </si>
  <si>
    <t xml:space="preserve">PNSS </t>
  </si>
  <si>
    <t>PNSS 50ML</t>
  </si>
  <si>
    <t>Sterile Water for Injection</t>
  </si>
  <si>
    <t>50ML Bottle</t>
  </si>
  <si>
    <t>100ML Bottle</t>
  </si>
  <si>
    <t>SUTURES</t>
  </si>
  <si>
    <t xml:space="preserve"> FORM</t>
  </si>
  <si>
    <t>Chromic 0 round</t>
  </si>
  <si>
    <t>Chromic 1/0 round</t>
  </si>
  <si>
    <t>suture</t>
  </si>
  <si>
    <t>Chromic 2/0 cutting</t>
  </si>
  <si>
    <t>Chromic 2/0 round</t>
  </si>
  <si>
    <t>Chromic 3/0 round</t>
  </si>
  <si>
    <t>Monocryl 4/0 cutting</t>
  </si>
  <si>
    <t>Nylon (Ethilon) 3-0 cutting</t>
  </si>
  <si>
    <t>SJBHPB</t>
  </si>
  <si>
    <t>Nylon (Ethilon) 4-0 cutting</t>
  </si>
  <si>
    <t>AUG. 2028</t>
  </si>
  <si>
    <t>TKBJKD</t>
  </si>
  <si>
    <t>Nylon (Ethilon) 5-0 cutting</t>
  </si>
  <si>
    <t>PDS  0 looped</t>
  </si>
  <si>
    <t>PDS 0 round (non loop)</t>
  </si>
  <si>
    <t>SMMCZM</t>
  </si>
  <si>
    <t>Prolene 0 round</t>
  </si>
  <si>
    <t>Prolene 2/0 cutting</t>
  </si>
  <si>
    <t>Prolene 2/0 round</t>
  </si>
  <si>
    <t>THBHCS</t>
  </si>
  <si>
    <t>Prolene 3/0 cutting</t>
  </si>
  <si>
    <t>Prolene 3/0 round</t>
  </si>
  <si>
    <t>Prolene 4/0 cutting</t>
  </si>
  <si>
    <t>SEPT. 2029</t>
  </si>
  <si>
    <t>103Z66</t>
  </si>
  <si>
    <t>Prolene 4/0 round</t>
  </si>
  <si>
    <t>TBBDSP</t>
  </si>
  <si>
    <t>Prolene 6/0 round (double needle)</t>
  </si>
  <si>
    <t>Silk 0 free tie</t>
  </si>
  <si>
    <t>SF4AN</t>
  </si>
  <si>
    <t>Silk 0 ROUND</t>
  </si>
  <si>
    <t>Silk 1/0 round</t>
  </si>
  <si>
    <t>Silk 2/0 cutting</t>
  </si>
  <si>
    <t>Silk 2/0 free tie</t>
  </si>
  <si>
    <t>Silk 2/0 round</t>
  </si>
  <si>
    <t xml:space="preserve">Silk 3/0 cutting </t>
  </si>
  <si>
    <t>Silk 3/0 free tie</t>
  </si>
  <si>
    <t>S63B6</t>
  </si>
  <si>
    <t>Silk 3/0 round</t>
  </si>
  <si>
    <t>Silk 4/0 cutting</t>
  </si>
  <si>
    <t>Silk 4/0 free tie</t>
  </si>
  <si>
    <t>SG5BG</t>
  </si>
  <si>
    <t>Vicryl 0 round</t>
  </si>
  <si>
    <t>Vicryl 1 round</t>
  </si>
  <si>
    <t xml:space="preserve">Vicryl 2/0 cutting </t>
  </si>
  <si>
    <t>SEPT. 2028</t>
  </si>
  <si>
    <t>TLMSHKS</t>
  </si>
  <si>
    <t>Vicryl 2/0 cutting (rapide)</t>
  </si>
  <si>
    <t>SABBSPS0</t>
  </si>
  <si>
    <t>Vicryl 2-0 round</t>
  </si>
  <si>
    <t>Vicryl 3-0 cutting</t>
  </si>
  <si>
    <t>Vicryl 3-0 round</t>
  </si>
  <si>
    <t>SLBCXQR0</t>
  </si>
  <si>
    <t>Vicryl 4-0 cutting</t>
  </si>
  <si>
    <t>Vicryl 4-0round</t>
  </si>
  <si>
    <t>Vicryl 5-0 cutting</t>
  </si>
  <si>
    <t xml:space="preserve"> MEDICAL SUPPLIES</t>
  </si>
  <si>
    <t>MEDICAL SUPPLY</t>
  </si>
  <si>
    <t>Asepto Syringe</t>
  </si>
  <si>
    <t>Syringe</t>
  </si>
  <si>
    <t>Arm Sling</t>
  </si>
  <si>
    <t>Extra Small</t>
  </si>
  <si>
    <t>Small</t>
  </si>
  <si>
    <t>Medium</t>
  </si>
  <si>
    <t>Blood Bag 450 mL.</t>
  </si>
  <si>
    <t>Bag</t>
  </si>
  <si>
    <t>BT SET</t>
  </si>
  <si>
    <t>BT Set</t>
  </si>
  <si>
    <t>Cord Clamp</t>
  </si>
  <si>
    <t>Clamp</t>
  </si>
  <si>
    <t>Elastic Bandage 2”</t>
  </si>
  <si>
    <t>Bandage</t>
  </si>
  <si>
    <t>Elastic Bandage 3”</t>
  </si>
  <si>
    <t>Elastic Bandage 4”</t>
  </si>
  <si>
    <t>Elastic Bandage 6”</t>
  </si>
  <si>
    <t>EndotracheaL Tube</t>
  </si>
  <si>
    <t>Fr. 9/2.0mm</t>
  </si>
  <si>
    <t>Fr.11/2.5mm</t>
  </si>
  <si>
    <t>Fr.14/3.0mm</t>
  </si>
  <si>
    <t>Fr.16/3.5mm</t>
  </si>
  <si>
    <t>Fr.18/4.0mm</t>
  </si>
  <si>
    <t>Fr.19/4.5mm</t>
  </si>
  <si>
    <t>Fr.21/5.0mm</t>
  </si>
  <si>
    <t>Fr.23/5.5mm</t>
  </si>
  <si>
    <t>Fr.24/6.0mm</t>
  </si>
  <si>
    <t>6.5mm</t>
  </si>
  <si>
    <t>Fr.28/7.0mm</t>
  </si>
  <si>
    <t>Epidural Catheter + Needle set G18</t>
  </si>
  <si>
    <t>Catheter</t>
  </si>
  <si>
    <t>Epidural Catheter + Needle set G20</t>
  </si>
  <si>
    <t>Feeding tube F5</t>
  </si>
  <si>
    <t>Tube</t>
  </si>
  <si>
    <t>Feeding tube F8.</t>
  </si>
  <si>
    <t>Femoral Catheter Fr. 12 (25mm)</t>
  </si>
  <si>
    <t>Foley bag catheter F14</t>
  </si>
  <si>
    <t>Foley bag catheter F16</t>
  </si>
  <si>
    <t>Foley bag catheter F18</t>
  </si>
  <si>
    <t>Gauze pad 4x4</t>
  </si>
  <si>
    <t>Pad</t>
  </si>
  <si>
    <t>Giglee Saw Wire</t>
  </si>
  <si>
    <t>Heplock</t>
  </si>
  <si>
    <t>Lock</t>
  </si>
  <si>
    <t>Incontinent Pad/ Underpad</t>
  </si>
  <si>
    <t>IV Cannula G16</t>
  </si>
  <si>
    <t>Needle</t>
  </si>
  <si>
    <t>5/10/2023.</t>
  </si>
  <si>
    <t xml:space="preserve">IV Cannula G18 </t>
  </si>
  <si>
    <t xml:space="preserve">IV Cannula G20 </t>
  </si>
  <si>
    <t>IV Cannula G22</t>
  </si>
  <si>
    <t>NEEDLE</t>
  </si>
  <si>
    <t>IV Cannula G24</t>
  </si>
  <si>
    <t xml:space="preserve">IV Cannula G26 </t>
  </si>
  <si>
    <t>Insulin syringe.</t>
  </si>
  <si>
    <t>Intrajugular Cath. Double Lumen Fr. 12</t>
  </si>
  <si>
    <t>Set</t>
  </si>
  <si>
    <t>JP DRAIN</t>
  </si>
  <si>
    <t>Lap Sponges 12”x12”</t>
  </si>
  <si>
    <t>Sponge</t>
  </si>
  <si>
    <t>Lubricating Gel Sachet</t>
  </si>
  <si>
    <t>Lubricant</t>
  </si>
  <si>
    <t>Lap Sponges 8”x12”</t>
  </si>
  <si>
    <t>Leukoplast 2.5cmx5cm</t>
  </si>
  <si>
    <t xml:space="preserve">Tape </t>
  </si>
  <si>
    <t>Leukoplast 5cmx5m</t>
  </si>
  <si>
    <t>Tape</t>
  </si>
  <si>
    <t>Lubricating Gel (Unimex)</t>
  </si>
  <si>
    <t>Macroset</t>
  </si>
  <si>
    <t>tube</t>
  </si>
  <si>
    <t>Microset.</t>
  </si>
  <si>
    <t>SC220526PH</t>
  </si>
  <si>
    <t xml:space="preserve">Neb kit with mask (adult) </t>
  </si>
  <si>
    <t>Kit</t>
  </si>
  <si>
    <t xml:space="preserve">Neb kit with mask (pedia) </t>
  </si>
  <si>
    <t>NGT Fr 14.</t>
  </si>
  <si>
    <t>NGT Fr 16.</t>
  </si>
  <si>
    <t>4/20/2026</t>
  </si>
  <si>
    <t>Silicone Tube</t>
  </si>
  <si>
    <t>MDK23877949</t>
  </si>
  <si>
    <t xml:space="preserve">Oxygen Cannula (Adult) </t>
  </si>
  <si>
    <t>Cannula</t>
  </si>
  <si>
    <t>Oxygen Mask (Adult)</t>
  </si>
  <si>
    <t>Mask</t>
  </si>
  <si>
    <t>Oxygen Cannula (Neonate)</t>
  </si>
  <si>
    <t>Oxygen Mask (Neonate)</t>
  </si>
  <si>
    <t>Oxygen Cannula (Pedia)</t>
  </si>
  <si>
    <t>Oxygen Mask (Pedia)</t>
  </si>
  <si>
    <t>MAY.2029</t>
  </si>
  <si>
    <t>Plaster 1” Micropore</t>
  </si>
  <si>
    <t>Plaster 1” TRANSPORE</t>
  </si>
  <si>
    <t>Plaster of Paris 4X5</t>
  </si>
  <si>
    <t>Plaster of Paris 6X5</t>
  </si>
  <si>
    <t>Skin Stapler</t>
  </si>
  <si>
    <t>Spinal Needle G23</t>
  </si>
  <si>
    <t>Spinal Needle G25</t>
  </si>
  <si>
    <t>Spinal Epidural Cath. Combination</t>
  </si>
  <si>
    <t>Suction catheter F12.</t>
  </si>
  <si>
    <t>Suction catheter F14</t>
  </si>
  <si>
    <t>Suction catheter F16.</t>
  </si>
  <si>
    <t>SC240303PH</t>
  </si>
  <si>
    <t xml:space="preserve">Soluset </t>
  </si>
  <si>
    <t>SET</t>
  </si>
  <si>
    <t>Suction catheter F8</t>
  </si>
  <si>
    <t>Surgical Gloves 6.5.</t>
  </si>
  <si>
    <t>Gloves</t>
  </si>
  <si>
    <t>Surgical Gloves 7.0</t>
  </si>
  <si>
    <t>Surgical Gloves 7.5.</t>
  </si>
  <si>
    <t>Syringe 1cc (Tuberculin)</t>
  </si>
  <si>
    <t>Syringe 3cc.</t>
  </si>
  <si>
    <t>Syringe 5cc</t>
  </si>
  <si>
    <t xml:space="preserve">Syringe 10cc </t>
  </si>
  <si>
    <t>Syringe 20cc</t>
  </si>
  <si>
    <t>Urine bag</t>
  </si>
  <si>
    <t>Urine Collector</t>
  </si>
  <si>
    <t>Wadding Sheet 4x5</t>
  </si>
  <si>
    <t>Sheet</t>
  </si>
  <si>
    <t>Wadding sheet 6X5</t>
  </si>
  <si>
    <t>sheet</t>
  </si>
  <si>
    <t>NEAR EXPIRY MEDICINES</t>
  </si>
  <si>
    <t>D68525</t>
  </si>
  <si>
    <t>LEGEND:</t>
  </si>
  <si>
    <t>DONATED DRUGS/MEDICINES</t>
  </si>
  <si>
    <t>OUT OF STOCK</t>
  </si>
  <si>
    <t>NEAR EXPIRY</t>
  </si>
  <si>
    <t xml:space="preserve">PREPARED BY: </t>
  </si>
  <si>
    <t>NOTED BY:</t>
  </si>
  <si>
    <t>CESSY C. CABIC, RPh</t>
  </si>
  <si>
    <t>MA. JENLYN C. MARFIL, RPh</t>
  </si>
  <si>
    <t>PHARMACIST - I</t>
  </si>
  <si>
    <t>PHARMCIST - III</t>
  </si>
  <si>
    <t xml:space="preserve">CHIEF PHARMACIST </t>
  </si>
  <si>
    <t>LIST OF AVAILABLE MEDICINES (OPD)</t>
  </si>
  <si>
    <t>APRIL. 2028</t>
  </si>
  <si>
    <t>074BDB</t>
  </si>
  <si>
    <t>ZLB162</t>
  </si>
  <si>
    <t>JUNE. 2028</t>
  </si>
  <si>
    <t>APRIL. 2027</t>
  </si>
  <si>
    <t>MARCH.2027</t>
  </si>
  <si>
    <t>Generic</t>
  </si>
  <si>
    <t>APRIL.2028</t>
  </si>
  <si>
    <t>AZET2501</t>
  </si>
  <si>
    <t>AUG.2026</t>
  </si>
  <si>
    <t>VPJ05</t>
  </si>
  <si>
    <t>APRIL.2027</t>
  </si>
  <si>
    <t>MAY.2027</t>
  </si>
  <si>
    <t>Doxycycline Hyclate</t>
  </si>
  <si>
    <t>ADBT2406</t>
  </si>
  <si>
    <t>MARCH2028</t>
  </si>
  <si>
    <t>060</t>
  </si>
  <si>
    <t>JULY.2027</t>
  </si>
  <si>
    <t>MARCH.2028</t>
  </si>
  <si>
    <t>AUG. 2026</t>
  </si>
  <si>
    <t>BRV8L001</t>
  </si>
  <si>
    <t>Mebendazole</t>
  </si>
  <si>
    <t>100mg/5mL 60mL Syr.</t>
  </si>
  <si>
    <t>4H200</t>
  </si>
  <si>
    <t xml:space="preserve">Mebendazole </t>
  </si>
  <si>
    <t>500mg Tablet</t>
  </si>
  <si>
    <t>4D286</t>
  </si>
  <si>
    <t>JUNE.2027</t>
  </si>
  <si>
    <t>5242307A</t>
  </si>
  <si>
    <t>SUPPLY REQUISITION FORM</t>
  </si>
  <si>
    <t xml:space="preserve">QTY. </t>
  </si>
  <si>
    <t>UNIT</t>
  </si>
  <si>
    <t>ARTICLES</t>
  </si>
  <si>
    <t xml:space="preserve">pcs. </t>
  </si>
  <si>
    <t>MEDICINES</t>
  </si>
  <si>
    <t>Metformin.</t>
  </si>
  <si>
    <t>ANETHESIA MEDS</t>
  </si>
  <si>
    <t xml:space="preserve">Bupivacaine Heavy </t>
  </si>
  <si>
    <t>IV FLUIDS</t>
  </si>
  <si>
    <t>bxs.</t>
  </si>
  <si>
    <t>Sterile Water for Injection 100 mL</t>
  </si>
  <si>
    <t xml:space="preserve"> Vicryl 3-0 cutting</t>
  </si>
  <si>
    <t>MEDICAL</t>
  </si>
  <si>
    <t>Large/Adult</t>
  </si>
  <si>
    <t xml:space="preserve">Oxygen cannula (Adult) </t>
  </si>
  <si>
    <t>Oxygen mask (Adult)</t>
  </si>
  <si>
    <t>Oxygen cannula (Neonate)</t>
  </si>
  <si>
    <t xml:space="preserve">NEAR EXPIRY MEDICINES </t>
  </si>
  <si>
    <t>JULY-DECEMBER 2026</t>
  </si>
  <si>
    <t>QUANTITY</t>
  </si>
  <si>
    <t>Atorvastatin</t>
  </si>
  <si>
    <t>20MG Tablet</t>
  </si>
  <si>
    <t>300mg Capsule</t>
  </si>
  <si>
    <t>GN2694</t>
  </si>
  <si>
    <t>LOSARTAN</t>
  </si>
  <si>
    <t>100MG TABLET</t>
  </si>
  <si>
    <t>SAPHLOR-100</t>
  </si>
  <si>
    <t>NOH36</t>
  </si>
  <si>
    <t>SEPT. 2026</t>
  </si>
  <si>
    <t>MHD-507</t>
  </si>
  <si>
    <t>E25DP002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</si>
</sst>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55">
    <font>
      <sz val="11"/>
      <color theme="1"/>
      <name val="Aptos Narrow"/>
      <charset val="134"/>
      <scheme val="minor"/>
    </font>
    <font>
      <sz val="12"/>
      <color theme="1"/>
      <name val="Bahnschrift SemiBold Condensed"/>
      <charset val="134"/>
    </font>
    <font>
      <sz val="12"/>
      <name val="Bahnschrift SemiBold Condensed"/>
      <charset val="134"/>
    </font>
    <font>
      <sz val="16"/>
      <color theme="1"/>
      <name val="Bahnschrift SemiBold Condensed"/>
      <charset val="134"/>
    </font>
    <font>
      <b/>
      <sz val="12"/>
      <color theme="0"/>
      <name val="Bahnschrift SemiBold Condensed"/>
      <charset val="134"/>
    </font>
    <font>
      <b/>
      <sz val="12"/>
      <color theme="1"/>
      <name val="Bahnschrift SemiBold Condensed"/>
      <charset val="134"/>
    </font>
    <font>
      <b/>
      <sz val="12"/>
      <name val="Bahnschrift SemiBold Condensed"/>
      <charset val="134"/>
    </font>
    <font>
      <sz val="12"/>
      <color rgb="FF000000"/>
      <name val="Bahnschrift SemiBold Condensed"/>
      <charset val="134"/>
    </font>
    <font>
      <sz val="11"/>
      <color theme="1"/>
      <name val="Calibri"/>
      <charset val="134"/>
    </font>
    <font>
      <b/>
      <sz val="11"/>
      <color theme="1"/>
      <name val="Calibri"/>
      <charset val="134"/>
    </font>
    <font>
      <sz val="11"/>
      <color rgb="FF000000"/>
      <name val="Calibri"/>
      <charset val="134"/>
    </font>
    <font>
      <sz val="12"/>
      <color rgb="FFFF0000"/>
      <name val="Bahnschrift SemiBold Condensed"/>
      <charset val="134"/>
    </font>
    <font>
      <b/>
      <sz val="11"/>
      <color theme="1"/>
      <name val="Aptos Narrow"/>
      <charset val="134"/>
      <scheme val="minor"/>
    </font>
    <font>
      <b/>
      <sz val="16"/>
      <color theme="1"/>
      <name val="Bahnschrift Condensed"/>
      <charset val="134"/>
    </font>
    <font>
      <sz val="16"/>
      <color theme="1"/>
      <name val="Bahnschrift Condensed"/>
      <charset val="134"/>
    </font>
    <font>
      <sz val="11"/>
      <color theme="1"/>
      <name val="Bahnschrift Condensed"/>
      <charset val="134"/>
    </font>
    <font>
      <b/>
      <sz val="11"/>
      <color theme="1"/>
      <name val="Bahnschrift Condensed"/>
      <charset val="134"/>
    </font>
    <font>
      <b/>
      <sz val="16"/>
      <color theme="0"/>
      <name val="Bahnschrift Condensed"/>
      <charset val="134"/>
    </font>
    <font>
      <b/>
      <sz val="11"/>
      <color rgb="FF7030A0"/>
      <name val="Arial Narrow"/>
      <charset val="134"/>
    </font>
    <font>
      <sz val="10"/>
      <color theme="1"/>
      <name val="Arial Narrow"/>
      <charset val="134"/>
    </font>
    <font>
      <b/>
      <sz val="10"/>
      <color theme="1"/>
      <name val="Arial Narrow"/>
      <charset val="134"/>
    </font>
    <font>
      <sz val="10"/>
      <color rgb="FFFF0000"/>
      <name val="Arial Narrow"/>
      <charset val="134"/>
    </font>
    <font>
      <sz val="10"/>
      <color rgb="FF000000"/>
      <name val="Arial Narrow"/>
      <charset val="134"/>
    </font>
    <font>
      <b/>
      <sz val="10"/>
      <color rgb="FF000000"/>
      <name val="Arial Narrow"/>
      <charset val="134"/>
    </font>
    <font>
      <b/>
      <sz val="10"/>
      <name val="Arial Narrow"/>
      <charset val="134"/>
    </font>
    <font>
      <sz val="10"/>
      <name val="Arial Narrow"/>
      <charset val="134"/>
    </font>
    <font>
      <b/>
      <sz val="16"/>
      <color theme="0"/>
      <name val="Aptos Narrow"/>
      <charset val="134"/>
      <scheme val="minor"/>
    </font>
    <font>
      <sz val="10"/>
      <color rgb="FFC00000"/>
      <name val="Arial Narrow"/>
      <charset val="134"/>
    </font>
    <font>
      <b/>
      <sz val="9"/>
      <color theme="1"/>
      <name val="Aptos Narrow"/>
      <charset val="134"/>
      <scheme val="minor"/>
    </font>
    <font>
      <b/>
      <sz val="9"/>
      <color theme="1"/>
      <name val="Arial Narrow"/>
      <charset val="134"/>
    </font>
    <font>
      <sz val="8"/>
      <color theme="1"/>
      <name val="Aptos Narrow"/>
      <charset val="134"/>
      <scheme val="minor"/>
    </font>
    <font>
      <sz val="8"/>
      <name val="Aptos Narrow"/>
      <charset val="134"/>
      <scheme val="minor"/>
    </font>
    <font>
      <b/>
      <sz val="11"/>
      <color theme="1"/>
      <name val="Arial Narrow"/>
      <charset val="134"/>
    </font>
    <font>
      <b/>
      <sz val="11"/>
      <name val="Arial Narrow"/>
      <charset val="134"/>
    </font>
    <font>
      <b/>
      <u/>
      <sz val="11"/>
      <color theme="1"/>
      <name val="Bahnschrift Condensed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b/>
      <u/>
      <sz val="16"/>
      <color theme="1"/>
      <name val="Bahnschrift Condensed"/>
      <charset val="134"/>
    </font>
  </fonts>
  <fills count="39">
    <fill>
      <patternFill patternType="none"/>
    </fill>
    <fill>
      <patternFill patternType="gray125"/>
    </fill>
    <fill>
      <patternFill patternType="solid">
        <fgColor rgb="FF9A7C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6F5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0" fillId="8" borderId="22" applyNumberFormat="0" applyFon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23" applyNumberFormat="0" applyFill="0" applyAlignment="0" applyProtection="0">
      <alignment vertical="center"/>
    </xf>
    <xf numFmtId="0" fontId="41" fillId="0" borderId="23" applyNumberFormat="0" applyFill="0" applyAlignment="0" applyProtection="0">
      <alignment vertical="center"/>
    </xf>
    <xf numFmtId="0" fontId="42" fillId="0" borderId="24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9" borderId="25" applyNumberFormat="0" applyAlignment="0" applyProtection="0">
      <alignment vertical="center"/>
    </xf>
    <xf numFmtId="0" fontId="44" fillId="10" borderId="26" applyNumberFormat="0" applyAlignment="0" applyProtection="0">
      <alignment vertical="center"/>
    </xf>
    <xf numFmtId="0" fontId="45" fillId="10" borderId="25" applyNumberFormat="0" applyAlignment="0" applyProtection="0">
      <alignment vertical="center"/>
    </xf>
    <xf numFmtId="0" fontId="46" fillId="11" borderId="27" applyNumberFormat="0" applyAlignment="0" applyProtection="0">
      <alignment vertical="center"/>
    </xf>
    <xf numFmtId="0" fontId="47" fillId="0" borderId="28" applyNumberFormat="0" applyFill="0" applyAlignment="0" applyProtection="0">
      <alignment vertical="center"/>
    </xf>
    <xf numFmtId="0" fontId="48" fillId="0" borderId="29" applyNumberFormat="0" applyFill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7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2" fillId="22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2" fillId="26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29" borderId="0" applyNumberFormat="0" applyBorder="0" applyAlignment="0" applyProtection="0">
      <alignment vertical="center"/>
    </xf>
    <xf numFmtId="0" fontId="52" fillId="30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3" fillId="33" borderId="0" applyNumberFormat="0" applyBorder="0" applyAlignment="0" applyProtection="0">
      <alignment vertical="center"/>
    </xf>
    <xf numFmtId="0" fontId="52" fillId="34" borderId="0" applyNumberFormat="0" applyBorder="0" applyAlignment="0" applyProtection="0">
      <alignment vertical="center"/>
    </xf>
    <xf numFmtId="0" fontId="52" fillId="35" borderId="0" applyNumberFormat="0" applyBorder="0" applyAlignment="0" applyProtection="0">
      <alignment vertical="center"/>
    </xf>
    <xf numFmtId="0" fontId="53" fillId="36" borderId="0" applyNumberFormat="0" applyBorder="0" applyAlignment="0" applyProtection="0">
      <alignment vertical="center"/>
    </xf>
    <xf numFmtId="0" fontId="53" fillId="37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</cellStyleXfs>
  <cellXfs count="3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/>
    <xf numFmtId="0" fontId="5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7" fontId="2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7" fillId="3" borderId="2" xfId="0" applyFont="1" applyFill="1" applyBorder="1" applyAlignment="1">
      <alignment vertical="center" wrapText="1"/>
    </xf>
    <xf numFmtId="0" fontId="7" fillId="3" borderId="2" xfId="0" applyFont="1" applyFill="1" applyBorder="1" applyAlignment="1">
      <alignment horizontal="left" vertical="center" wrapText="1"/>
    </xf>
    <xf numFmtId="17" fontId="2" fillId="3" borderId="2" xfId="0" applyNumberFormat="1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8" fillId="0" borderId="0" xfId="0" applyFont="1"/>
    <xf numFmtId="0" fontId="8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8" fillId="0" borderId="2" xfId="0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/>
    <xf numFmtId="0" fontId="10" fillId="0" borderId="2" xfId="0" applyFont="1" applyBorder="1" applyAlignment="1">
      <alignment horizontal="justify" vertical="center" wrapText="1"/>
    </xf>
    <xf numFmtId="0" fontId="1" fillId="0" borderId="4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17" fontId="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17" fontId="1" fillId="0" borderId="2" xfId="0" applyNumberFormat="1" applyFont="1" applyBorder="1" applyAlignment="1">
      <alignment horizontal="center" vertical="center" wrapText="1"/>
    </xf>
    <xf numFmtId="17" fontId="11" fillId="0" borderId="2" xfId="0" applyNumberFormat="1" applyFont="1" applyBorder="1" applyAlignment="1">
      <alignment horizontal="center" vertical="center" wrapText="1"/>
    </xf>
    <xf numFmtId="0" fontId="1" fillId="0" borderId="4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left" vertical="center" wrapText="1"/>
    </xf>
    <xf numFmtId="17" fontId="2" fillId="0" borderId="3" xfId="0" applyNumberFormat="1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0" fillId="2" borderId="0" xfId="0" applyFill="1"/>
    <xf numFmtId="0" fontId="0" fillId="0" borderId="0" xfId="0" applyFill="1"/>
    <xf numFmtId="0" fontId="0" fillId="0" borderId="0" xfId="0" applyFill="1"/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/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7" fillId="2" borderId="7" xfId="0" applyFont="1" applyFill="1" applyBorder="1" applyAlignment="1">
      <alignment horizontal="center"/>
    </xf>
    <xf numFmtId="0" fontId="17" fillId="2" borderId="8" xfId="0" applyFont="1" applyFill="1" applyBorder="1" applyAlignment="1">
      <alignment horizontal="center"/>
    </xf>
    <xf numFmtId="0" fontId="17" fillId="2" borderId="9" xfId="0" applyFont="1" applyFill="1" applyBorder="1" applyAlignment="1">
      <alignment horizontal="center"/>
    </xf>
    <xf numFmtId="0" fontId="18" fillId="0" borderId="7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19" fillId="2" borderId="5" xfId="0" applyFont="1" applyFill="1" applyBorder="1" applyAlignment="1">
      <alignment vertical="center" wrapText="1"/>
    </xf>
    <xf numFmtId="0" fontId="19" fillId="2" borderId="6" xfId="0" applyFont="1" applyFill="1" applyBorder="1" applyAlignment="1">
      <alignment vertical="center" wrapText="1"/>
    </xf>
    <xf numFmtId="17" fontId="19" fillId="2" borderId="6" xfId="0" applyNumberFormat="1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58" fontId="19" fillId="2" borderId="6" xfId="0" applyNumberFormat="1" applyFont="1" applyFill="1" applyBorder="1" applyAlignment="1">
      <alignment horizontal="center" vertical="center" wrapText="1"/>
    </xf>
    <xf numFmtId="0" fontId="20" fillId="2" borderId="6" xfId="0" applyFont="1" applyFill="1" applyBorder="1" applyAlignment="1">
      <alignment horizontal="center" vertical="center" wrapText="1"/>
    </xf>
    <xf numFmtId="0" fontId="20" fillId="2" borderId="10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vertical="center" wrapText="1"/>
    </xf>
    <xf numFmtId="0" fontId="19" fillId="2" borderId="2" xfId="0" applyFont="1" applyFill="1" applyBorder="1" applyAlignment="1">
      <alignment vertical="center" wrapText="1"/>
    </xf>
    <xf numFmtId="17" fontId="21" fillId="2" borderId="2" xfId="0" applyNumberFormat="1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58" fontId="19" fillId="2" borderId="2" xfId="0" applyNumberFormat="1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20" fillId="2" borderId="11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vertical="center" wrapText="1"/>
    </xf>
    <xf numFmtId="0" fontId="22" fillId="2" borderId="2" xfId="0" applyFont="1" applyFill="1" applyBorder="1" applyAlignment="1">
      <alignment vertical="center" wrapText="1"/>
    </xf>
    <xf numFmtId="0" fontId="23" fillId="2" borderId="2" xfId="0" applyFont="1" applyFill="1" applyBorder="1" applyAlignment="1">
      <alignment horizontal="center" vertical="center" wrapText="1"/>
    </xf>
    <xf numFmtId="0" fontId="23" fillId="2" borderId="1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vertical="center" wrapText="1"/>
    </xf>
    <xf numFmtId="0" fontId="19" fillId="4" borderId="2" xfId="0" applyFont="1" applyFill="1" applyBorder="1" applyAlignment="1">
      <alignment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19" fillId="4" borderId="2" xfId="0" applyFont="1" applyFill="1" applyBorder="1" applyAlignment="1">
      <alignment horizontal="center" vertical="center" wrapText="1"/>
    </xf>
    <xf numFmtId="58" fontId="19" fillId="4" borderId="2" xfId="0" applyNumberFormat="1" applyFont="1" applyFill="1" applyBorder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 wrapText="1"/>
    </xf>
    <xf numFmtId="0" fontId="20" fillId="4" borderId="11" xfId="0" applyFont="1" applyFill="1" applyBorder="1" applyAlignment="1">
      <alignment horizontal="center" vertical="center" wrapText="1"/>
    </xf>
    <xf numFmtId="17" fontId="19" fillId="2" borderId="2" xfId="0" applyNumberFormat="1" applyFont="1" applyFill="1" applyBorder="1" applyAlignment="1">
      <alignment horizontal="center" vertical="center" wrapText="1"/>
    </xf>
    <xf numFmtId="0" fontId="19" fillId="0" borderId="1" xfId="0" applyFont="1" applyBorder="1" applyAlignment="1">
      <alignment vertical="center" wrapText="1"/>
    </xf>
    <xf numFmtId="0" fontId="19" fillId="0" borderId="2" xfId="0" applyFont="1" applyBorder="1" applyAlignment="1">
      <alignment vertical="center" wrapText="1"/>
    </xf>
    <xf numFmtId="0" fontId="19" fillId="0" borderId="2" xfId="0" applyFont="1" applyBorder="1" applyAlignment="1">
      <alignment horizontal="center" vertical="center" wrapText="1"/>
    </xf>
    <xf numFmtId="58" fontId="19" fillId="0" borderId="2" xfId="0" applyNumberFormat="1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vertical="center" wrapText="1"/>
    </xf>
    <xf numFmtId="0" fontId="19" fillId="0" borderId="2" xfId="0" applyFont="1" applyFill="1" applyBorder="1" applyAlignment="1">
      <alignment vertical="center" wrapText="1"/>
    </xf>
    <xf numFmtId="17" fontId="19" fillId="0" borderId="2" xfId="0" applyNumberFormat="1" applyFont="1" applyFill="1" applyBorder="1" applyAlignment="1">
      <alignment horizontal="center" vertical="center" wrapText="1"/>
    </xf>
    <xf numFmtId="0" fontId="19" fillId="0" borderId="2" xfId="0" applyFont="1" applyFill="1" applyBorder="1" applyAlignment="1">
      <alignment horizontal="center" vertical="center" wrapText="1"/>
    </xf>
    <xf numFmtId="58" fontId="19" fillId="0" borderId="2" xfId="0" applyNumberFormat="1" applyFont="1" applyFill="1" applyBorder="1" applyAlignment="1">
      <alignment horizontal="center" vertical="center" wrapText="1"/>
    </xf>
    <xf numFmtId="0" fontId="20" fillId="0" borderId="2" xfId="0" applyFont="1" applyFill="1" applyBorder="1" applyAlignment="1">
      <alignment horizontal="center" vertical="center" wrapText="1"/>
    </xf>
    <xf numFmtId="0" fontId="20" fillId="0" borderId="11" xfId="0" applyFont="1" applyFill="1" applyBorder="1" applyAlignment="1">
      <alignment horizontal="center" vertical="center" wrapText="1"/>
    </xf>
    <xf numFmtId="17" fontId="19" fillId="0" borderId="2" xfId="0" applyNumberFormat="1" applyFont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 wrapText="1"/>
    </xf>
    <xf numFmtId="58" fontId="22" fillId="2" borderId="2" xfId="0" applyNumberFormat="1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center" vertical="center" wrapText="1"/>
    </xf>
    <xf numFmtId="0" fontId="24" fillId="2" borderId="11" xfId="0" applyFont="1" applyFill="1" applyBorder="1" applyAlignment="1">
      <alignment horizontal="center" vertical="center" wrapText="1"/>
    </xf>
    <xf numFmtId="17" fontId="21" fillId="4" borderId="2" xfId="0" applyNumberFormat="1" applyFont="1" applyFill="1" applyBorder="1" applyAlignment="1">
      <alignment horizontal="center" vertical="center" wrapText="1"/>
    </xf>
    <xf numFmtId="0" fontId="19" fillId="0" borderId="4" xfId="0" applyFont="1" applyBorder="1" applyAlignment="1">
      <alignment horizontal="left" vertical="center" wrapText="1"/>
    </xf>
    <xf numFmtId="0" fontId="19" fillId="0" borderId="2" xfId="0" applyFont="1" applyBorder="1" applyAlignment="1">
      <alignment horizontal="left" vertical="center" wrapText="1"/>
    </xf>
    <xf numFmtId="0" fontId="23" fillId="0" borderId="11" xfId="0" applyFont="1" applyFill="1" applyBorder="1" applyAlignment="1">
      <alignment horizontal="center" vertical="center" wrapText="1"/>
    </xf>
    <xf numFmtId="0" fontId="19" fillId="0" borderId="5" xfId="0" applyFont="1" applyBorder="1" applyAlignment="1">
      <alignment horizontal="left" vertical="center" wrapText="1"/>
    </xf>
    <xf numFmtId="0" fontId="19" fillId="0" borderId="2" xfId="0" applyFont="1" applyFill="1" applyBorder="1" applyAlignment="1">
      <alignment horizontal="left" vertical="center" wrapText="1"/>
    </xf>
    <xf numFmtId="0" fontId="22" fillId="0" borderId="2" xfId="0" applyFont="1" applyFill="1" applyBorder="1" applyAlignment="1">
      <alignment vertical="center" wrapText="1"/>
    </xf>
    <xf numFmtId="0" fontId="23" fillId="0" borderId="2" xfId="0" applyFont="1" applyFill="1" applyBorder="1" applyAlignment="1">
      <alignment horizontal="center" vertical="center" wrapText="1"/>
    </xf>
    <xf numFmtId="0" fontId="20" fillId="5" borderId="2" xfId="0" applyFont="1" applyFill="1" applyBorder="1" applyAlignment="1">
      <alignment horizontal="center" vertical="center" wrapText="1"/>
    </xf>
    <xf numFmtId="0" fontId="23" fillId="5" borderId="11" xfId="0" applyFont="1" applyFill="1" applyBorder="1" applyAlignment="1">
      <alignment horizontal="center" vertical="center" wrapText="1"/>
    </xf>
    <xf numFmtId="58" fontId="25" fillId="0" borderId="2" xfId="0" applyNumberFormat="1" applyFont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left" vertical="center" wrapText="1"/>
    </xf>
    <xf numFmtId="0" fontId="19" fillId="2" borderId="2" xfId="0" applyFont="1" applyFill="1" applyBorder="1" applyAlignment="1">
      <alignment horizontal="left" vertical="center" wrapText="1"/>
    </xf>
    <xf numFmtId="17" fontId="25" fillId="2" borderId="2" xfId="0" applyNumberFormat="1" applyFont="1" applyFill="1" applyBorder="1" applyAlignment="1">
      <alignment horizontal="center" vertical="center" wrapText="1"/>
    </xf>
    <xf numFmtId="17" fontId="22" fillId="2" borderId="2" xfId="0" applyNumberFormat="1" applyFont="1" applyFill="1" applyBorder="1" applyAlignment="1">
      <alignment horizontal="center" vertical="center" wrapText="1"/>
    </xf>
    <xf numFmtId="0" fontId="19" fillId="0" borderId="4" xfId="0" applyFont="1" applyFill="1" applyBorder="1" applyAlignment="1">
      <alignment horizontal="left" vertical="center" wrapText="1"/>
    </xf>
    <xf numFmtId="0" fontId="19" fillId="0" borderId="3" xfId="0" applyFont="1" applyFill="1" applyBorder="1" applyAlignment="1">
      <alignment horizontal="left" vertical="center" wrapText="1"/>
    </xf>
    <xf numFmtId="17" fontId="25" fillId="0" borderId="3" xfId="0" applyNumberFormat="1" applyFont="1" applyFill="1" applyBorder="1" applyAlignment="1">
      <alignment horizontal="center" vertical="center" wrapText="1"/>
    </xf>
    <xf numFmtId="0" fontId="19" fillId="0" borderId="3" xfId="0" applyFont="1" applyFill="1" applyBorder="1" applyAlignment="1">
      <alignment horizontal="center" vertical="center" wrapText="1"/>
    </xf>
    <xf numFmtId="0" fontId="19" fillId="0" borderId="5" xfId="0" applyFont="1" applyFill="1" applyBorder="1" applyAlignment="1">
      <alignment horizontal="left" vertical="center" wrapText="1"/>
    </xf>
    <xf numFmtId="0" fontId="19" fillId="0" borderId="6" xfId="0" applyFont="1" applyFill="1" applyBorder="1" applyAlignment="1">
      <alignment horizontal="left" vertical="center" wrapText="1"/>
    </xf>
    <xf numFmtId="17" fontId="25" fillId="0" borderId="6" xfId="0" applyNumberFormat="1" applyFont="1" applyFill="1" applyBorder="1" applyAlignment="1">
      <alignment horizontal="center" vertical="center" wrapText="1"/>
    </xf>
    <xf numFmtId="0" fontId="19" fillId="0" borderId="6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left" vertical="center" wrapText="1"/>
    </xf>
    <xf numFmtId="0" fontId="22" fillId="2" borderId="2" xfId="0" applyFont="1" applyFill="1" applyBorder="1" applyAlignment="1">
      <alignment horizontal="left" vertical="center" wrapText="1"/>
    </xf>
    <xf numFmtId="17" fontId="25" fillId="0" borderId="2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center" wrapText="1"/>
    </xf>
    <xf numFmtId="17" fontId="19" fillId="0" borderId="2" xfId="0" applyNumberFormat="1" applyFont="1" applyBorder="1" applyAlignment="1">
      <alignment horizontal="center" vertical="center"/>
    </xf>
    <xf numFmtId="0" fontId="19" fillId="2" borderId="12" xfId="0" applyFont="1" applyFill="1" applyBorder="1" applyAlignment="1">
      <alignment vertical="center" wrapText="1"/>
    </xf>
    <xf numFmtId="0" fontId="19" fillId="2" borderId="13" xfId="0" applyFont="1" applyFill="1" applyBorder="1" applyAlignment="1">
      <alignment vertical="center" wrapText="1"/>
    </xf>
    <xf numFmtId="0" fontId="19" fillId="2" borderId="13" xfId="0" applyFont="1" applyFill="1" applyBorder="1" applyAlignment="1">
      <alignment horizontal="center" vertical="center" wrapText="1"/>
    </xf>
    <xf numFmtId="58" fontId="19" fillId="2" borderId="13" xfId="0" applyNumberFormat="1" applyFont="1" applyFill="1" applyBorder="1" applyAlignment="1">
      <alignment horizontal="center" vertical="center" wrapText="1"/>
    </xf>
    <xf numFmtId="0" fontId="20" fillId="2" borderId="13" xfId="0" applyFont="1" applyFill="1" applyBorder="1" applyAlignment="1">
      <alignment horizontal="center" vertical="center" wrapText="1"/>
    </xf>
    <xf numFmtId="0" fontId="20" fillId="2" borderId="14" xfId="0" applyFont="1" applyFill="1" applyBorder="1" applyAlignment="1">
      <alignment horizontal="center" vertical="center" wrapText="1"/>
    </xf>
    <xf numFmtId="0" fontId="26" fillId="2" borderId="15" xfId="0" applyFont="1" applyFill="1" applyBorder="1" applyAlignment="1">
      <alignment horizontal="center"/>
    </xf>
    <xf numFmtId="0" fontId="26" fillId="2" borderId="16" xfId="0" applyFont="1" applyFill="1" applyBorder="1" applyAlignment="1">
      <alignment horizontal="center"/>
    </xf>
    <xf numFmtId="0" fontId="26" fillId="2" borderId="17" xfId="0" applyFont="1" applyFill="1" applyBorder="1" applyAlignment="1">
      <alignment horizontal="center"/>
    </xf>
    <xf numFmtId="0" fontId="22" fillId="2" borderId="5" xfId="0" applyFont="1" applyFill="1" applyBorder="1" applyAlignment="1">
      <alignment horizontal="justify" vertical="center" wrapText="1"/>
    </xf>
    <xf numFmtId="0" fontId="22" fillId="2" borderId="6" xfId="0" applyFont="1" applyFill="1" applyBorder="1" applyAlignment="1">
      <alignment horizontal="justify" vertical="center" wrapText="1"/>
    </xf>
    <xf numFmtId="0" fontId="19" fillId="2" borderId="6" xfId="0" applyFont="1" applyFill="1" applyBorder="1" applyAlignment="1">
      <alignment horizontal="justify" vertical="center" wrapText="1"/>
    </xf>
    <xf numFmtId="0" fontId="23" fillId="2" borderId="6" xfId="0" applyFont="1" applyFill="1" applyBorder="1" applyAlignment="1">
      <alignment horizontal="center" vertical="center" wrapText="1"/>
    </xf>
    <xf numFmtId="0" fontId="23" fillId="2" borderId="10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justify" vertical="center" wrapText="1"/>
    </xf>
    <xf numFmtId="0" fontId="22" fillId="2" borderId="2" xfId="0" applyFont="1" applyFill="1" applyBorder="1" applyAlignment="1">
      <alignment horizontal="justify" vertical="center" wrapText="1"/>
    </xf>
    <xf numFmtId="0" fontId="19" fillId="2" borderId="2" xfId="0" applyFont="1" applyFill="1" applyBorder="1" applyAlignment="1">
      <alignment horizontal="justify" vertical="center" wrapText="1"/>
    </xf>
    <xf numFmtId="0" fontId="19" fillId="2" borderId="1" xfId="0" applyFont="1" applyFill="1" applyBorder="1" applyAlignment="1">
      <alignment horizontal="justify" vertical="center" wrapText="1"/>
    </xf>
    <xf numFmtId="0" fontId="22" fillId="2" borderId="12" xfId="0" applyFont="1" applyFill="1" applyBorder="1" applyAlignment="1">
      <alignment horizontal="justify" vertical="center" wrapText="1"/>
    </xf>
    <xf numFmtId="0" fontId="22" fillId="2" borderId="13" xfId="0" applyFont="1" applyFill="1" applyBorder="1" applyAlignment="1">
      <alignment horizontal="justify" vertical="center" wrapText="1"/>
    </xf>
    <xf numFmtId="0" fontId="19" fillId="2" borderId="13" xfId="0" applyFont="1" applyFill="1" applyBorder="1" applyAlignment="1">
      <alignment horizontal="justify" vertical="center" wrapText="1"/>
    </xf>
    <xf numFmtId="0" fontId="23" fillId="2" borderId="13" xfId="0" applyFont="1" applyFill="1" applyBorder="1" applyAlignment="1">
      <alignment horizontal="center" vertical="center" wrapText="1"/>
    </xf>
    <xf numFmtId="0" fontId="23" fillId="2" borderId="14" xfId="0" applyFont="1" applyFill="1" applyBorder="1" applyAlignment="1">
      <alignment horizontal="center" vertical="center" wrapText="1"/>
    </xf>
    <xf numFmtId="0" fontId="26" fillId="2" borderId="7" xfId="0" applyFont="1" applyFill="1" applyBorder="1" applyAlignment="1">
      <alignment horizontal="center"/>
    </xf>
    <xf numFmtId="0" fontId="26" fillId="2" borderId="8" xfId="0" applyFont="1" applyFill="1" applyBorder="1" applyAlignment="1">
      <alignment horizontal="center"/>
    </xf>
    <xf numFmtId="0" fontId="26" fillId="2" borderId="9" xfId="0" applyFont="1" applyFill="1" applyBorder="1" applyAlignment="1">
      <alignment horizontal="center"/>
    </xf>
    <xf numFmtId="17" fontId="27" fillId="2" borderId="6" xfId="0" applyNumberFormat="1" applyFont="1" applyFill="1" applyBorder="1" applyAlignment="1">
      <alignment horizontal="center" vertical="center" wrapText="1"/>
    </xf>
    <xf numFmtId="0" fontId="28" fillId="2" borderId="11" xfId="0" applyFont="1" applyFill="1" applyBorder="1" applyAlignment="1">
      <alignment horizontal="center" vertical="center"/>
    </xf>
    <xf numFmtId="0" fontId="29" fillId="2" borderId="11" xfId="0" applyFont="1" applyFill="1" applyBorder="1" applyAlignment="1">
      <alignment horizontal="center" vertical="center"/>
    </xf>
    <xf numFmtId="0" fontId="19" fillId="0" borderId="2" xfId="0" applyFont="1" applyBorder="1" applyAlignment="1">
      <alignment horizontal="justify" vertical="center" wrapText="1"/>
    </xf>
    <xf numFmtId="0" fontId="28" fillId="0" borderId="11" xfId="0" applyFont="1" applyFill="1" applyBorder="1" applyAlignment="1">
      <alignment horizontal="center" vertical="center"/>
    </xf>
    <xf numFmtId="0" fontId="19" fillId="2" borderId="12" xfId="0" applyFont="1" applyFill="1" applyBorder="1" applyAlignment="1">
      <alignment horizontal="justify" vertical="center" wrapText="1"/>
    </xf>
    <xf numFmtId="17" fontId="21" fillId="2" borderId="13" xfId="0" applyNumberFormat="1" applyFont="1" applyFill="1" applyBorder="1" applyAlignment="1">
      <alignment horizontal="center" vertical="center" wrapText="1"/>
    </xf>
    <xf numFmtId="0" fontId="22" fillId="2" borderId="5" xfId="0" applyFont="1" applyFill="1" applyBorder="1" applyAlignment="1">
      <alignment vertical="center" wrapText="1"/>
    </xf>
    <xf numFmtId="0" fontId="22" fillId="2" borderId="6" xfId="0" applyFont="1" applyFill="1" applyBorder="1" applyAlignment="1">
      <alignment vertical="center" wrapText="1"/>
    </xf>
    <xf numFmtId="0" fontId="30" fillId="2" borderId="6" xfId="0" applyFont="1" applyFill="1" applyBorder="1" applyAlignment="1">
      <alignment horizontal="center" vertical="center"/>
    </xf>
    <xf numFmtId="0" fontId="30" fillId="2" borderId="2" xfId="0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vertical="center" wrapText="1"/>
    </xf>
    <xf numFmtId="0" fontId="30" fillId="0" borderId="2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vertical="center" wrapText="1"/>
    </xf>
    <xf numFmtId="0" fontId="22" fillId="2" borderId="13" xfId="0" applyFont="1" applyFill="1" applyBorder="1" applyAlignment="1">
      <alignment vertical="center" wrapText="1"/>
    </xf>
    <xf numFmtId="0" fontId="30" fillId="2" borderId="13" xfId="0" applyFont="1" applyFill="1" applyBorder="1" applyAlignment="1">
      <alignment horizontal="center" vertical="center"/>
    </xf>
    <xf numFmtId="0" fontId="19" fillId="0" borderId="4" xfId="0" applyFont="1" applyBorder="1" applyAlignment="1">
      <alignment vertical="center" wrapText="1"/>
    </xf>
    <xf numFmtId="0" fontId="19" fillId="0" borderId="3" xfId="0" applyFont="1" applyBorder="1" applyAlignment="1">
      <alignment vertical="center" wrapText="1"/>
    </xf>
    <xf numFmtId="0" fontId="30" fillId="5" borderId="3" xfId="0" applyFont="1" applyFill="1" applyBorder="1" applyAlignment="1">
      <alignment horizontal="center" vertical="center"/>
    </xf>
    <xf numFmtId="0" fontId="19" fillId="0" borderId="3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30" fillId="5" borderId="2" xfId="0" applyFont="1" applyFill="1" applyBorder="1" applyAlignment="1">
      <alignment horizontal="center" vertical="center"/>
    </xf>
    <xf numFmtId="0" fontId="22" fillId="0" borderId="2" xfId="0" applyFont="1" applyFill="1" applyBorder="1" applyAlignment="1">
      <alignment horizontal="center" vertical="center" wrapText="1"/>
    </xf>
    <xf numFmtId="0" fontId="19" fillId="0" borderId="12" xfId="0" applyFont="1" applyBorder="1" applyAlignment="1">
      <alignment vertical="center" wrapText="1"/>
    </xf>
    <xf numFmtId="0" fontId="19" fillId="0" borderId="13" xfId="0" applyFont="1" applyBorder="1" applyAlignment="1">
      <alignment vertical="center" wrapText="1"/>
    </xf>
    <xf numFmtId="0" fontId="30" fillId="5" borderId="13" xfId="0" applyFont="1" applyFill="1" applyBorder="1" applyAlignment="1">
      <alignment horizontal="center" vertical="center"/>
    </xf>
    <xf numFmtId="0" fontId="19" fillId="0" borderId="13" xfId="0" applyFont="1" applyBorder="1" applyAlignment="1">
      <alignment horizontal="center" vertical="center" wrapText="1"/>
    </xf>
    <xf numFmtId="58" fontId="19" fillId="0" borderId="13" xfId="0" applyNumberFormat="1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2" fillId="2" borderId="4" xfId="0" applyFont="1" applyFill="1" applyBorder="1" applyAlignment="1">
      <alignment vertical="center" wrapText="1"/>
    </xf>
    <xf numFmtId="0" fontId="22" fillId="2" borderId="3" xfId="0" applyFont="1" applyFill="1" applyBorder="1" applyAlignment="1">
      <alignment vertical="center" wrapText="1"/>
    </xf>
    <xf numFmtId="0" fontId="30" fillId="2" borderId="3" xfId="0" applyFont="1" applyFill="1" applyBorder="1" applyAlignment="1">
      <alignment horizontal="center" vertical="center"/>
    </xf>
    <xf numFmtId="0" fontId="19" fillId="0" borderId="3" xfId="0" applyFont="1" applyBorder="1" applyAlignment="1">
      <alignment horizontal="left" vertical="center" wrapText="1"/>
    </xf>
    <xf numFmtId="0" fontId="22" fillId="4" borderId="5" xfId="0" applyFont="1" applyFill="1" applyBorder="1" applyAlignment="1">
      <alignment vertical="center" wrapText="1"/>
    </xf>
    <xf numFmtId="0" fontId="22" fillId="4" borderId="6" xfId="0" applyFont="1" applyFill="1" applyBorder="1" applyAlignment="1">
      <alignment vertical="center" wrapText="1"/>
    </xf>
    <xf numFmtId="0" fontId="30" fillId="4" borderId="6" xfId="0" applyFont="1" applyFill="1" applyBorder="1" applyAlignment="1">
      <alignment horizontal="center" vertical="center"/>
    </xf>
    <xf numFmtId="17" fontId="21" fillId="4" borderId="6" xfId="0" applyNumberFormat="1" applyFont="1" applyFill="1" applyBorder="1" applyAlignment="1">
      <alignment horizontal="center" vertical="center" wrapText="1"/>
    </xf>
    <xf numFmtId="0" fontId="19" fillId="4" borderId="6" xfId="0" applyFont="1" applyFill="1" applyBorder="1" applyAlignment="1">
      <alignment horizontal="center" vertical="center" wrapText="1"/>
    </xf>
    <xf numFmtId="58" fontId="19" fillId="4" borderId="6" xfId="0" applyNumberFormat="1" applyFont="1" applyFill="1" applyBorder="1" applyAlignment="1">
      <alignment horizontal="center" vertical="center" wrapText="1"/>
    </xf>
    <xf numFmtId="0" fontId="23" fillId="4" borderId="6" xfId="0" applyFont="1" applyFill="1" applyBorder="1" applyAlignment="1">
      <alignment horizontal="center" vertical="center" wrapText="1"/>
    </xf>
    <xf numFmtId="0" fontId="20" fillId="4" borderId="10" xfId="0" applyFont="1" applyFill="1" applyBorder="1" applyAlignment="1">
      <alignment horizontal="center" vertical="center" wrapText="1"/>
    </xf>
    <xf numFmtId="0" fontId="22" fillId="0" borderId="4" xfId="0" applyFont="1" applyBorder="1" applyAlignment="1">
      <alignment horizontal="left" vertical="center" wrapText="1"/>
    </xf>
    <xf numFmtId="0" fontId="22" fillId="0" borderId="3" xfId="0" applyFont="1" applyBorder="1" applyAlignment="1">
      <alignment horizontal="left" vertical="center" wrapText="1"/>
    </xf>
    <xf numFmtId="0" fontId="30" fillId="0" borderId="3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left" vertical="center" wrapText="1"/>
    </xf>
    <xf numFmtId="0" fontId="22" fillId="0" borderId="6" xfId="0" applyFont="1" applyBorder="1" applyAlignment="1">
      <alignment horizontal="left" vertical="center" wrapText="1"/>
    </xf>
    <xf numFmtId="0" fontId="30" fillId="0" borderId="6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 wrapText="1"/>
    </xf>
    <xf numFmtId="0" fontId="25" fillId="0" borderId="1" xfId="0" applyFont="1" applyFill="1" applyBorder="1" applyAlignment="1">
      <alignment vertical="center" wrapText="1"/>
    </xf>
    <xf numFmtId="0" fontId="25" fillId="0" borderId="2" xfId="0" applyFont="1" applyFill="1" applyBorder="1" applyAlignment="1">
      <alignment vertical="center" wrapText="1"/>
    </xf>
    <xf numFmtId="0" fontId="31" fillId="0" borderId="2" xfId="0" applyFont="1" applyFill="1" applyBorder="1" applyAlignment="1">
      <alignment horizontal="center" vertical="center"/>
    </xf>
    <xf numFmtId="0" fontId="25" fillId="0" borderId="2" xfId="0" applyFont="1" applyFill="1" applyBorder="1" applyAlignment="1">
      <alignment horizontal="center" vertical="center" wrapText="1"/>
    </xf>
    <xf numFmtId="58" fontId="25" fillId="0" borderId="2" xfId="0" applyNumberFormat="1" applyFont="1" applyFill="1" applyBorder="1" applyAlignment="1">
      <alignment horizontal="center" vertical="center" wrapText="1"/>
    </xf>
    <xf numFmtId="0" fontId="24" fillId="0" borderId="2" xfId="0" applyFont="1" applyFill="1" applyBorder="1" applyAlignment="1">
      <alignment horizontal="center" vertical="center" wrapText="1"/>
    </xf>
    <xf numFmtId="0" fontId="24" fillId="0" borderId="11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vertical="center" wrapText="1"/>
    </xf>
    <xf numFmtId="0" fontId="25" fillId="2" borderId="2" xfId="0" applyFont="1" applyFill="1" applyBorder="1" applyAlignment="1">
      <alignment vertical="center" wrapText="1"/>
    </xf>
    <xf numFmtId="0" fontId="31" fillId="2" borderId="2" xfId="0" applyFont="1" applyFill="1" applyBorder="1" applyAlignment="1">
      <alignment horizontal="center" vertical="center"/>
    </xf>
    <xf numFmtId="0" fontId="25" fillId="2" borderId="2" xfId="0" applyFont="1" applyFill="1" applyBorder="1" applyAlignment="1">
      <alignment horizontal="center" vertical="center" wrapText="1"/>
    </xf>
    <xf numFmtId="58" fontId="25" fillId="2" borderId="2" xfId="0" applyNumberFormat="1" applyFont="1" applyFill="1" applyBorder="1" applyAlignment="1">
      <alignment horizontal="center" vertical="center" wrapText="1"/>
    </xf>
    <xf numFmtId="17" fontId="19" fillId="0" borderId="3" xfId="0" applyNumberFormat="1" applyFont="1" applyBorder="1" applyAlignment="1">
      <alignment horizontal="center" vertical="center" wrapText="1"/>
    </xf>
    <xf numFmtId="0" fontId="19" fillId="0" borderId="19" xfId="0" applyFont="1" applyBorder="1" applyAlignment="1">
      <alignment horizontal="left" vertical="center" wrapText="1"/>
    </xf>
    <xf numFmtId="0" fontId="19" fillId="0" borderId="20" xfId="0" applyFont="1" applyBorder="1" applyAlignment="1">
      <alignment horizontal="left" vertical="center" wrapText="1"/>
    </xf>
    <xf numFmtId="0" fontId="30" fillId="5" borderId="20" xfId="0" applyFont="1" applyFill="1" applyBorder="1" applyAlignment="1">
      <alignment horizontal="center" vertical="center"/>
    </xf>
    <xf numFmtId="17" fontId="19" fillId="0" borderId="20" xfId="0" applyNumberFormat="1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left" vertical="center" wrapText="1"/>
    </xf>
    <xf numFmtId="0" fontId="30" fillId="5" borderId="6" xfId="0" applyFont="1" applyFill="1" applyBorder="1" applyAlignment="1">
      <alignment horizontal="center" vertical="center"/>
    </xf>
    <xf numFmtId="17" fontId="19" fillId="0" borderId="6" xfId="0" applyNumberFormat="1" applyFont="1" applyBorder="1" applyAlignment="1">
      <alignment horizontal="center" vertical="center" wrapText="1"/>
    </xf>
    <xf numFmtId="0" fontId="22" fillId="0" borderId="1" xfId="0" applyFont="1" applyBorder="1" applyAlignment="1">
      <alignment vertical="center" wrapText="1"/>
    </xf>
    <xf numFmtId="0" fontId="22" fillId="0" borderId="2" xfId="0" applyFont="1" applyBorder="1" applyAlignment="1">
      <alignment vertical="center" wrapText="1"/>
    </xf>
    <xf numFmtId="0" fontId="30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 wrapText="1"/>
    </xf>
    <xf numFmtId="0" fontId="22" fillId="2" borderId="5" xfId="0" applyFont="1" applyFill="1" applyBorder="1" applyAlignment="1">
      <alignment horizontal="left" vertical="center" wrapText="1"/>
    </xf>
    <xf numFmtId="0" fontId="22" fillId="2" borderId="6" xfId="0" applyFont="1" applyFill="1" applyBorder="1" applyAlignment="1">
      <alignment horizontal="left" vertical="center" wrapText="1"/>
    </xf>
    <xf numFmtId="17" fontId="22" fillId="2" borderId="3" xfId="0" applyNumberFormat="1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49" fontId="19" fillId="0" borderId="2" xfId="0" applyNumberFormat="1" applyFont="1" applyFill="1" applyBorder="1" applyAlignment="1">
      <alignment horizontal="center" vertical="center" wrapText="1"/>
    </xf>
    <xf numFmtId="0" fontId="22" fillId="0" borderId="5" xfId="0" applyFont="1" applyFill="1" applyBorder="1" applyAlignment="1">
      <alignment vertical="center" wrapText="1"/>
    </xf>
    <xf numFmtId="0" fontId="22" fillId="0" borderId="6" xfId="0" applyFont="1" applyFill="1" applyBorder="1" applyAlignment="1">
      <alignment vertical="center" wrapText="1"/>
    </xf>
    <xf numFmtId="0" fontId="30" fillId="0" borderId="6" xfId="0" applyFont="1" applyFill="1" applyBorder="1" applyAlignment="1">
      <alignment horizontal="center" vertical="center"/>
    </xf>
    <xf numFmtId="17" fontId="22" fillId="0" borderId="6" xfId="0" applyNumberFormat="1" applyFont="1" applyFill="1" applyBorder="1" applyAlignment="1">
      <alignment horizontal="center" vertical="center" wrapText="1"/>
    </xf>
    <xf numFmtId="58" fontId="19" fillId="0" borderId="6" xfId="0" applyNumberFormat="1" applyFont="1" applyFill="1" applyBorder="1" applyAlignment="1">
      <alignment horizontal="center" vertical="center" wrapText="1"/>
    </xf>
    <xf numFmtId="0" fontId="23" fillId="0" borderId="6" xfId="0" applyFont="1" applyFill="1" applyBorder="1" applyAlignment="1">
      <alignment horizontal="center" vertical="center" wrapText="1"/>
    </xf>
    <xf numFmtId="0" fontId="20" fillId="0" borderId="10" xfId="0" applyFont="1" applyFill="1" applyBorder="1" applyAlignment="1">
      <alignment horizontal="center" vertical="center" wrapText="1"/>
    </xf>
    <xf numFmtId="17" fontId="22" fillId="0" borderId="2" xfId="0" applyNumberFormat="1" applyFont="1" applyFill="1" applyBorder="1" applyAlignment="1">
      <alignment horizontal="center" vertical="center" wrapText="1"/>
    </xf>
    <xf numFmtId="0" fontId="22" fillId="3" borderId="4" xfId="0" applyFont="1" applyFill="1" applyBorder="1" applyAlignment="1">
      <alignment horizontal="left" vertical="center" wrapText="1"/>
    </xf>
    <xf numFmtId="0" fontId="22" fillId="3" borderId="3" xfId="0" applyFont="1" applyFill="1" applyBorder="1" applyAlignment="1">
      <alignment horizontal="left" vertical="center" wrapText="1"/>
    </xf>
    <xf numFmtId="17" fontId="22" fillId="3" borderId="3" xfId="0" applyNumberFormat="1" applyFont="1" applyFill="1" applyBorder="1" applyAlignment="1">
      <alignment horizontal="center" vertical="center" wrapText="1"/>
    </xf>
    <xf numFmtId="0" fontId="22" fillId="3" borderId="3" xfId="0" applyFont="1" applyFill="1" applyBorder="1" applyAlignment="1">
      <alignment horizontal="center" vertical="center" wrapText="1"/>
    </xf>
    <xf numFmtId="58" fontId="22" fillId="3" borderId="2" xfId="0" applyNumberFormat="1" applyFont="1" applyFill="1" applyBorder="1" applyAlignment="1">
      <alignment horizontal="center" vertical="center" wrapText="1"/>
    </xf>
    <xf numFmtId="0" fontId="22" fillId="3" borderId="2" xfId="0" applyFont="1" applyFill="1" applyBorder="1" applyAlignment="1">
      <alignment horizontal="center" vertical="center" wrapText="1"/>
    </xf>
    <xf numFmtId="0" fontId="23" fillId="3" borderId="2" xfId="0" applyFont="1" applyFill="1" applyBorder="1" applyAlignment="1">
      <alignment horizontal="center" vertical="center" wrapText="1"/>
    </xf>
    <xf numFmtId="0" fontId="23" fillId="3" borderId="11" xfId="0" applyFont="1" applyFill="1" applyBorder="1" applyAlignment="1">
      <alignment horizontal="center" vertical="center" wrapText="1"/>
    </xf>
    <xf numFmtId="0" fontId="22" fillId="3" borderId="19" xfId="0" applyFont="1" applyFill="1" applyBorder="1" applyAlignment="1">
      <alignment horizontal="left" vertical="center" wrapText="1"/>
    </xf>
    <xf numFmtId="0" fontId="22" fillId="3" borderId="20" xfId="0" applyFont="1" applyFill="1" applyBorder="1" applyAlignment="1">
      <alignment horizontal="left" vertical="center" wrapText="1"/>
    </xf>
    <xf numFmtId="17" fontId="22" fillId="3" borderId="6" xfId="0" applyNumberFormat="1" applyFont="1" applyFill="1" applyBorder="1" applyAlignment="1">
      <alignment horizontal="center" vertical="center" wrapText="1"/>
    </xf>
    <xf numFmtId="0" fontId="22" fillId="3" borderId="6" xfId="0" applyFont="1" applyFill="1" applyBorder="1" applyAlignment="1">
      <alignment horizontal="center" vertical="center" wrapText="1"/>
    </xf>
    <xf numFmtId="0" fontId="22" fillId="3" borderId="5" xfId="0" applyFont="1" applyFill="1" applyBorder="1" applyAlignment="1">
      <alignment horizontal="left" vertical="center" wrapText="1"/>
    </xf>
    <xf numFmtId="0" fontId="22" fillId="3" borderId="6" xfId="0" applyFont="1" applyFill="1" applyBorder="1" applyAlignment="1">
      <alignment horizontal="left" vertical="center" wrapText="1"/>
    </xf>
    <xf numFmtId="0" fontId="22" fillId="0" borderId="6" xfId="0" applyFont="1" applyFill="1" applyBorder="1" applyAlignment="1">
      <alignment horizontal="center" vertical="center" wrapText="1"/>
    </xf>
    <xf numFmtId="0" fontId="22" fillId="0" borderId="4" xfId="0" applyFont="1" applyFill="1" applyBorder="1" applyAlignment="1">
      <alignment vertical="center" wrapText="1"/>
    </xf>
    <xf numFmtId="0" fontId="22" fillId="0" borderId="3" xfId="0" applyFont="1" applyFill="1" applyBorder="1" applyAlignment="1">
      <alignment vertical="center" wrapText="1"/>
    </xf>
    <xf numFmtId="0" fontId="30" fillId="0" borderId="3" xfId="0" applyFont="1" applyFill="1" applyBorder="1" applyAlignment="1">
      <alignment horizontal="center" vertical="center"/>
    </xf>
    <xf numFmtId="17" fontId="19" fillId="2" borderId="2" xfId="0" applyNumberFormat="1" applyFont="1" applyFill="1" applyBorder="1" applyAlignment="1">
      <alignment horizontal="center" vertical="center"/>
    </xf>
    <xf numFmtId="0" fontId="22" fillId="2" borderId="4" xfId="0" applyFont="1" applyFill="1" applyBorder="1" applyAlignment="1">
      <alignment horizontal="left" vertical="center" wrapText="1"/>
    </xf>
    <xf numFmtId="0" fontId="22" fillId="2" borderId="3" xfId="0" applyFont="1" applyFill="1" applyBorder="1" applyAlignment="1">
      <alignment horizontal="left" vertical="center" wrapText="1"/>
    </xf>
    <xf numFmtId="17" fontId="19" fillId="2" borderId="3" xfId="0" applyNumberFormat="1" applyFont="1" applyFill="1" applyBorder="1" applyAlignment="1">
      <alignment horizontal="center" vertical="center" wrapText="1"/>
    </xf>
    <xf numFmtId="0" fontId="22" fillId="0" borderId="0" xfId="0" applyFont="1" applyFill="1" applyAlignment="1">
      <alignment vertical="center" wrapText="1"/>
    </xf>
    <xf numFmtId="0" fontId="30" fillId="0" borderId="0" xfId="0" applyFont="1" applyFill="1" applyAlignment="1">
      <alignment horizontal="center" vertical="center"/>
    </xf>
    <xf numFmtId="0" fontId="19" fillId="0" borderId="0" xfId="0" applyFont="1" applyFill="1" applyAlignment="1">
      <alignment horizontal="center" vertical="center" wrapText="1"/>
    </xf>
    <xf numFmtId="0" fontId="23" fillId="0" borderId="0" xfId="0" applyFont="1" applyFill="1" applyAlignment="1">
      <alignment horizontal="center" vertical="center" wrapText="1"/>
    </xf>
    <xf numFmtId="0" fontId="20" fillId="0" borderId="0" xfId="0" applyFont="1" applyFill="1" applyAlignment="1">
      <alignment horizontal="center" vertical="center" wrapText="1"/>
    </xf>
    <xf numFmtId="0" fontId="0" fillId="0" borderId="0" xfId="0" applyFill="1"/>
    <xf numFmtId="0" fontId="22" fillId="0" borderId="0" xfId="0" applyFont="1" applyFill="1" applyAlignment="1">
      <alignment vertical="center" wrapText="1"/>
    </xf>
    <xf numFmtId="0" fontId="30" fillId="0" borderId="0" xfId="0" applyFont="1" applyFill="1" applyAlignment="1">
      <alignment horizontal="center" vertical="center"/>
    </xf>
    <xf numFmtId="0" fontId="19" fillId="0" borderId="0" xfId="0" applyFont="1" applyFill="1" applyAlignment="1">
      <alignment horizontal="center" vertical="center" wrapText="1"/>
    </xf>
    <xf numFmtId="0" fontId="23" fillId="0" borderId="0" xfId="0" applyFont="1" applyFill="1" applyAlignment="1">
      <alignment horizontal="center" vertical="center" wrapText="1"/>
    </xf>
    <xf numFmtId="0" fontId="20" fillId="0" borderId="0" xfId="0" applyFont="1" applyFill="1" applyAlignment="1">
      <alignment horizontal="center" vertical="center" wrapText="1"/>
    </xf>
    <xf numFmtId="0" fontId="17" fillId="6" borderId="15" xfId="0" applyFont="1" applyFill="1" applyBorder="1" applyAlignment="1">
      <alignment horizontal="center"/>
    </xf>
    <xf numFmtId="0" fontId="17" fillId="6" borderId="16" xfId="0" applyFont="1" applyFill="1" applyBorder="1" applyAlignment="1">
      <alignment horizontal="center"/>
    </xf>
    <xf numFmtId="0" fontId="17" fillId="6" borderId="17" xfId="0" applyFont="1" applyFill="1" applyBorder="1" applyAlignment="1">
      <alignment horizontal="center"/>
    </xf>
    <xf numFmtId="0" fontId="17" fillId="0" borderId="0" xfId="0" applyFont="1" applyFill="1" applyBorder="1" applyAlignment="1"/>
    <xf numFmtId="0" fontId="32" fillId="0" borderId="7" xfId="0" applyFont="1" applyBorder="1" applyAlignment="1">
      <alignment horizontal="center" vertical="center" wrapText="1"/>
    </xf>
    <xf numFmtId="0" fontId="32" fillId="0" borderId="8" xfId="0" applyFont="1" applyBorder="1" applyAlignment="1">
      <alignment horizontal="center" vertical="center" wrapText="1"/>
    </xf>
    <xf numFmtId="0" fontId="32" fillId="0" borderId="9" xfId="0" applyFont="1" applyBorder="1" applyAlignment="1">
      <alignment horizontal="center" vertical="center" wrapText="1"/>
    </xf>
    <xf numFmtId="0" fontId="32" fillId="0" borderId="0" xfId="0" applyFont="1" applyBorder="1" applyAlignment="1">
      <alignment horizontal="center" vertical="center" wrapText="1"/>
    </xf>
    <xf numFmtId="0" fontId="33" fillId="0" borderId="0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58" fontId="19" fillId="0" borderId="0" xfId="0" applyNumberFormat="1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20" fillId="0" borderId="0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0" xfId="0" applyFont="1" applyAlignment="1">
      <alignment horizontal="left" vertical="center" wrapText="1"/>
    </xf>
    <xf numFmtId="0" fontId="19" fillId="0" borderId="0" xfId="0" applyFont="1" applyAlignment="1">
      <alignment vertical="center" wrapText="1"/>
    </xf>
    <xf numFmtId="0" fontId="21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58" fontId="19" fillId="0" borderId="0" xfId="0" applyNumberFormat="1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5" borderId="0" xfId="0" applyFont="1" applyFill="1" applyAlignment="1">
      <alignment horizontal="center" vertical="center" wrapText="1"/>
    </xf>
    <xf numFmtId="0" fontId="23" fillId="5" borderId="0" xfId="0" applyFont="1" applyFill="1" applyAlignment="1">
      <alignment horizontal="center" vertical="center" wrapText="1"/>
    </xf>
    <xf numFmtId="0" fontId="20" fillId="0" borderId="0" xfId="0" applyFont="1" applyAlignment="1">
      <alignment horizontal="left" vertical="center" wrapText="1"/>
    </xf>
    <xf numFmtId="0" fontId="19" fillId="7" borderId="21" xfId="0" applyFont="1" applyFill="1" applyBorder="1" applyAlignment="1">
      <alignment horizontal="left" vertical="center" wrapText="1"/>
    </xf>
    <xf numFmtId="0" fontId="19" fillId="2" borderId="21" xfId="0" applyFont="1" applyFill="1" applyBorder="1" applyAlignment="1">
      <alignment horizontal="left" vertical="center" wrapText="1"/>
    </xf>
    <xf numFmtId="0" fontId="19" fillId="4" borderId="21" xfId="0" applyFont="1" applyFill="1" applyBorder="1" applyAlignment="1">
      <alignment horizontal="left" vertical="center" wrapText="1"/>
    </xf>
    <xf numFmtId="0" fontId="20" fillId="0" borderId="0" xfId="0" applyFont="1" applyAlignment="1">
      <alignment vertical="center" wrapText="1"/>
    </xf>
    <xf numFmtId="0" fontId="34" fillId="0" borderId="0" xfId="0" applyFont="1" applyAlignment="1">
      <alignment horizontal="center"/>
    </xf>
    <xf numFmtId="0" fontId="19" fillId="0" borderId="2" xfId="0" applyFont="1" applyFill="1" applyBorder="1" applyAlignment="1" quotePrefix="1">
      <alignment horizontal="center" vertical="center" wrapText="1"/>
    </xf>
    <xf numFmtId="0" fontId="1" fillId="0" borderId="3" xfId="0" applyFont="1" applyFill="1" applyBorder="1" applyAlignment="1" quotePrefix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9F6DA0"/>
      <color rgb="00A7ADCD"/>
      <color rgb="00F6F5D6"/>
      <color rgb="00C07162"/>
      <color rgb="009A7CC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R440"/>
  <sheetViews>
    <sheetView tabSelected="1" topLeftCell="A404" workbookViewId="0">
      <selection activeCell="A1" sqref="A1:K413"/>
    </sheetView>
  </sheetViews>
  <sheetFormatPr defaultColWidth="9" defaultRowHeight="15"/>
  <cols>
    <col min="1" max="1" width="17.875" customWidth="1"/>
    <col min="2" max="2" width="20" customWidth="1"/>
    <col min="3" max="3" width="14.25" customWidth="1"/>
    <col min="4" max="4" width="9" style="57" customWidth="1"/>
    <col min="5" max="5" width="9.875" style="57" customWidth="1"/>
    <col min="6" max="6" width="10.5" style="57" customWidth="1"/>
    <col min="7" max="7" width="9" style="57" customWidth="1"/>
    <col min="8" max="8" width="8" style="57" customWidth="1"/>
    <col min="9" max="9" width="21.125" style="58" customWidth="1"/>
    <col min="10" max="10" width="9.625" style="58" customWidth="1"/>
    <col min="11" max="11" width="21" style="58" customWidth="1"/>
    <col min="12" max="44" width="9" style="55"/>
  </cols>
  <sheetData>
    <row r="1" ht="19.5" spans="1:44">
      <c r="A1" s="59" t="s">
        <v>0</v>
      </c>
      <c r="B1" s="59"/>
      <c r="C1" s="59"/>
      <c r="D1" s="59"/>
      <c r="E1" s="59"/>
      <c r="F1" s="59"/>
      <c r="G1" s="59"/>
      <c r="H1" s="59"/>
      <c r="I1" s="59"/>
      <c r="J1" s="59"/>
      <c r="K1" s="59"/>
    </row>
    <row r="2" ht="19.5" spans="1:44">
      <c r="A2" s="60" t="s">
        <v>1</v>
      </c>
      <c r="B2" s="60"/>
      <c r="C2" s="60"/>
      <c r="D2" s="60"/>
      <c r="E2" s="60"/>
      <c r="F2" s="60"/>
      <c r="G2" s="60"/>
      <c r="H2" s="60"/>
      <c r="I2" s="59"/>
      <c r="J2" s="59"/>
      <c r="K2" s="59"/>
    </row>
    <row r="3" spans="1:44">
      <c r="A3" s="61"/>
      <c r="B3" s="61"/>
      <c r="C3" s="61"/>
      <c r="D3" s="62"/>
      <c r="E3" s="62"/>
      <c r="F3" s="62"/>
      <c r="G3" s="62"/>
      <c r="H3" s="62"/>
      <c r="I3" s="63"/>
      <c r="J3" s="63"/>
      <c r="K3" s="63"/>
    </row>
    <row r="4" ht="20.25" spans="1:44">
      <c r="A4" s="64" t="s">
        <v>2</v>
      </c>
      <c r="B4" s="65"/>
      <c r="C4" s="65"/>
      <c r="D4" s="65"/>
      <c r="E4" s="65"/>
      <c r="F4" s="65"/>
      <c r="G4" s="65"/>
      <c r="H4" s="65"/>
      <c r="I4" s="65"/>
      <c r="J4" s="65"/>
      <c r="K4" s="66"/>
    </row>
    <row r="5" ht="37" customHeight="1" spans="1:44">
      <c r="A5" s="67" t="s">
        <v>3</v>
      </c>
      <c r="B5" s="68" t="s">
        <v>4</v>
      </c>
      <c r="C5" s="68" t="s">
        <v>5</v>
      </c>
      <c r="D5" s="68" t="s">
        <v>6</v>
      </c>
      <c r="E5" s="68" t="s">
        <v>7</v>
      </c>
      <c r="F5" s="68" t="s">
        <v>8</v>
      </c>
      <c r="G5" s="68" t="s">
        <v>9</v>
      </c>
      <c r="H5" s="68" t="s">
        <v>10</v>
      </c>
      <c r="I5" s="68" t="s">
        <v>11</v>
      </c>
      <c r="J5" s="68" t="s">
        <v>12</v>
      </c>
      <c r="K5" s="69" t="s">
        <v>13</v>
      </c>
    </row>
    <row r="6" ht="25" customHeight="1" spans="1:44">
      <c r="A6" s="70" t="s">
        <v>14</v>
      </c>
      <c r="B6" s="71" t="s">
        <v>15</v>
      </c>
      <c r="C6" s="71" t="s">
        <v>16</v>
      </c>
      <c r="D6" s="72"/>
      <c r="E6" s="73"/>
      <c r="F6" s="74"/>
      <c r="G6" s="73"/>
      <c r="H6" s="73"/>
      <c r="I6" s="75">
        <v>0</v>
      </c>
      <c r="J6" s="75">
        <v>0</v>
      </c>
      <c r="K6" s="76">
        <f>I6-J6</f>
        <v>0</v>
      </c>
    </row>
    <row r="7" ht="14.25" spans="1:44">
      <c r="A7" s="77" t="s">
        <v>17</v>
      </c>
      <c r="B7" s="78" t="s">
        <v>18</v>
      </c>
      <c r="C7" s="78" t="s">
        <v>19</v>
      </c>
      <c r="D7" s="79"/>
      <c r="E7" s="80"/>
      <c r="F7" s="81"/>
      <c r="G7" s="80"/>
      <c r="H7" s="80"/>
      <c r="I7" s="82">
        <v>0</v>
      </c>
      <c r="J7" s="82">
        <v>0</v>
      </c>
      <c r="K7" s="83">
        <f>I7-J7</f>
        <v>0</v>
      </c>
    </row>
    <row r="8" s="54" customFormat="1" ht="14.25" spans="1:44">
      <c r="A8" s="84" t="s">
        <v>20</v>
      </c>
      <c r="B8" s="85" t="s">
        <v>21</v>
      </c>
      <c r="C8" s="85" t="s">
        <v>22</v>
      </c>
      <c r="D8" s="80"/>
      <c r="E8" s="80"/>
      <c r="F8" s="80"/>
      <c r="G8" s="80"/>
      <c r="H8" s="80"/>
      <c r="I8" s="86">
        <v>0</v>
      </c>
      <c r="J8" s="86">
        <v>0</v>
      </c>
      <c r="K8" s="87">
        <v>0</v>
      </c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</row>
    <row r="9" ht="14.25" spans="1:44">
      <c r="A9" s="88" t="s">
        <v>23</v>
      </c>
      <c r="B9" s="89" t="s">
        <v>24</v>
      </c>
      <c r="C9" s="89" t="s">
        <v>25</v>
      </c>
      <c r="D9" s="90" t="s">
        <v>26</v>
      </c>
      <c r="E9" s="91" t="s">
        <v>27</v>
      </c>
      <c r="F9" s="92">
        <v>45611</v>
      </c>
      <c r="G9" s="91">
        <v>20</v>
      </c>
      <c r="H9" s="91">
        <v>120</v>
      </c>
      <c r="I9" s="93">
        <v>119</v>
      </c>
      <c r="J9" s="93">
        <v>0</v>
      </c>
      <c r="K9" s="94">
        <f>I9-J9</f>
        <v>119</v>
      </c>
    </row>
    <row r="10" ht="14.25" spans="1:44">
      <c r="A10" s="88"/>
      <c r="B10" s="89"/>
      <c r="C10" s="89"/>
      <c r="D10" s="90"/>
      <c r="E10" s="91"/>
      <c r="F10" s="92">
        <v>45827</v>
      </c>
      <c r="G10" s="91">
        <v>100</v>
      </c>
      <c r="H10" s="91"/>
      <c r="I10" s="93"/>
      <c r="J10" s="93"/>
      <c r="K10" s="94"/>
    </row>
    <row r="11" s="54" customFormat="1" ht="14.25" spans="1:44">
      <c r="A11" s="84" t="s">
        <v>28</v>
      </c>
      <c r="B11" s="85" t="s">
        <v>29</v>
      </c>
      <c r="C11" s="85" t="s">
        <v>30</v>
      </c>
      <c r="D11" s="80"/>
      <c r="E11" s="80"/>
      <c r="F11" s="80"/>
      <c r="G11" s="80"/>
      <c r="H11" s="80"/>
      <c r="I11" s="86">
        <v>0</v>
      </c>
      <c r="J11" s="86">
        <v>0</v>
      </c>
      <c r="K11" s="83">
        <f t="shared" ref="K11:K21" si="0">I11-J11</f>
        <v>0</v>
      </c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</row>
    <row r="12" ht="14.25" spans="1:44">
      <c r="A12" s="88" t="s">
        <v>31</v>
      </c>
      <c r="B12" s="89" t="s">
        <v>32</v>
      </c>
      <c r="C12" s="89" t="s">
        <v>33</v>
      </c>
      <c r="D12" s="90" t="s">
        <v>34</v>
      </c>
      <c r="E12" s="91" t="s">
        <v>35</v>
      </c>
      <c r="F12" s="92">
        <v>45436</v>
      </c>
      <c r="G12" s="91">
        <v>100</v>
      </c>
      <c r="H12" s="91">
        <v>100</v>
      </c>
      <c r="I12" s="93">
        <v>64</v>
      </c>
      <c r="J12" s="93">
        <v>6</v>
      </c>
      <c r="K12" s="94">
        <f t="shared" si="0"/>
        <v>58</v>
      </c>
    </row>
    <row r="13" ht="13" customHeight="1" spans="1:44">
      <c r="A13" s="77" t="s">
        <v>36</v>
      </c>
      <c r="B13" s="78" t="s">
        <v>37</v>
      </c>
      <c r="C13" s="78" t="s">
        <v>38</v>
      </c>
      <c r="D13" s="95"/>
      <c r="E13" s="81"/>
      <c r="F13" s="81"/>
      <c r="G13" s="80"/>
      <c r="H13" s="80"/>
      <c r="I13" s="82">
        <v>0</v>
      </c>
      <c r="J13" s="82">
        <v>0</v>
      </c>
      <c r="K13" s="83">
        <f t="shared" si="0"/>
        <v>0</v>
      </c>
    </row>
    <row r="14" ht="27" customHeight="1" spans="1:44">
      <c r="A14" s="96" t="s">
        <v>39</v>
      </c>
      <c r="B14" s="97" t="s">
        <v>40</v>
      </c>
      <c r="C14" s="97" t="s">
        <v>41</v>
      </c>
      <c r="D14" s="98" t="s">
        <v>42</v>
      </c>
      <c r="E14" s="98" t="s">
        <v>43</v>
      </c>
      <c r="F14" s="99">
        <v>45968</v>
      </c>
      <c r="G14" s="98">
        <v>9600</v>
      </c>
      <c r="H14" s="98">
        <v>9600</v>
      </c>
      <c r="I14" s="100">
        <v>9592</v>
      </c>
      <c r="J14" s="100">
        <v>0</v>
      </c>
      <c r="K14" s="101">
        <f t="shared" si="0"/>
        <v>9592</v>
      </c>
    </row>
    <row r="15" s="54" customFormat="1" ht="25.5" spans="1:44">
      <c r="A15" s="84" t="s">
        <v>39</v>
      </c>
      <c r="B15" s="85" t="s">
        <v>44</v>
      </c>
      <c r="C15" s="85" t="s">
        <v>45</v>
      </c>
      <c r="D15" s="80"/>
      <c r="E15" s="80"/>
      <c r="F15" s="80"/>
      <c r="G15" s="80"/>
      <c r="H15" s="80" t="s">
        <v>46</v>
      </c>
      <c r="I15" s="86">
        <v>0</v>
      </c>
      <c r="J15" s="86">
        <v>0</v>
      </c>
      <c r="K15" s="83">
        <f t="shared" si="0"/>
        <v>0</v>
      </c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</row>
    <row r="16" s="54" customFormat="1" customHeight="1" spans="1:44">
      <c r="A16" s="84" t="s">
        <v>47</v>
      </c>
      <c r="B16" s="85" t="s">
        <v>48</v>
      </c>
      <c r="C16" s="85" t="s">
        <v>49</v>
      </c>
      <c r="D16" s="80"/>
      <c r="E16" s="80"/>
      <c r="F16" s="81"/>
      <c r="G16" s="80"/>
      <c r="H16" s="80"/>
      <c r="I16" s="86">
        <v>0</v>
      </c>
      <c r="J16" s="86">
        <v>0</v>
      </c>
      <c r="K16" s="83">
        <f t="shared" si="0"/>
        <v>0</v>
      </c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</row>
    <row r="17" s="54" customFormat="1" ht="13" customHeight="1" spans="1:44">
      <c r="A17" s="84" t="s">
        <v>50</v>
      </c>
      <c r="B17" s="85" t="s">
        <v>51</v>
      </c>
      <c r="C17" s="85" t="s">
        <v>52</v>
      </c>
      <c r="D17" s="80"/>
      <c r="E17" s="80"/>
      <c r="F17" s="80"/>
      <c r="G17" s="80"/>
      <c r="H17" s="80"/>
      <c r="I17" s="86">
        <v>0</v>
      </c>
      <c r="J17" s="86">
        <v>0</v>
      </c>
      <c r="K17" s="83">
        <f t="shared" si="0"/>
        <v>0</v>
      </c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</row>
    <row r="18" ht="10" customHeight="1" spans="1:44">
      <c r="A18" s="77" t="s">
        <v>50</v>
      </c>
      <c r="B18" s="78" t="s">
        <v>53</v>
      </c>
      <c r="C18" s="78" t="s">
        <v>54</v>
      </c>
      <c r="D18" s="102"/>
      <c r="E18" s="80"/>
      <c r="F18" s="81"/>
      <c r="G18" s="80"/>
      <c r="H18" s="80"/>
      <c r="I18" s="82">
        <v>0</v>
      </c>
      <c r="J18" s="82">
        <v>0</v>
      </c>
      <c r="K18" s="83">
        <f t="shared" si="0"/>
        <v>0</v>
      </c>
    </row>
    <row r="19" ht="14.25" spans="1:44">
      <c r="A19" s="77" t="s">
        <v>55</v>
      </c>
      <c r="B19" s="78" t="s">
        <v>56</v>
      </c>
      <c r="C19" s="78" t="s">
        <v>57</v>
      </c>
      <c r="D19" s="80"/>
      <c r="E19" s="80"/>
      <c r="F19" s="81"/>
      <c r="G19" s="80"/>
      <c r="H19" s="80"/>
      <c r="I19" s="82">
        <v>0</v>
      </c>
      <c r="J19" s="82">
        <v>0</v>
      </c>
      <c r="K19" s="83">
        <f t="shared" si="0"/>
        <v>0</v>
      </c>
    </row>
    <row r="20" ht="14.25" spans="1:44">
      <c r="A20" s="84" t="s">
        <v>55</v>
      </c>
      <c r="B20" s="85" t="s">
        <v>58</v>
      </c>
      <c r="C20" s="85" t="s">
        <v>59</v>
      </c>
      <c r="D20" s="95"/>
      <c r="E20" s="80"/>
      <c r="F20" s="80"/>
      <c r="G20" s="80"/>
      <c r="H20" s="80"/>
      <c r="I20" s="86">
        <v>0</v>
      </c>
      <c r="J20" s="86">
        <v>0</v>
      </c>
      <c r="K20" s="83">
        <f t="shared" si="0"/>
        <v>0</v>
      </c>
    </row>
    <row r="21" customHeight="1" spans="1:44">
      <c r="A21" s="96" t="s">
        <v>60</v>
      </c>
      <c r="B21" s="97" t="s">
        <v>61</v>
      </c>
      <c r="C21" s="97" t="s">
        <v>62</v>
      </c>
      <c r="D21" s="98" t="s">
        <v>63</v>
      </c>
      <c r="E21" s="98" t="s">
        <v>64</v>
      </c>
      <c r="F21" s="99">
        <v>45678</v>
      </c>
      <c r="G21" s="98">
        <v>50</v>
      </c>
      <c r="H21" s="98">
        <v>100</v>
      </c>
      <c r="I21" s="100">
        <v>98</v>
      </c>
      <c r="J21" s="100">
        <v>0</v>
      </c>
      <c r="K21" s="101">
        <f t="shared" si="0"/>
        <v>98</v>
      </c>
    </row>
    <row r="22" ht="14.25" spans="1:44">
      <c r="A22" s="96"/>
      <c r="B22" s="97"/>
      <c r="C22" s="97"/>
      <c r="D22" s="98"/>
      <c r="E22" s="98"/>
      <c r="F22" s="99">
        <v>45968</v>
      </c>
      <c r="G22" s="98">
        <v>50</v>
      </c>
      <c r="H22" s="98"/>
      <c r="I22" s="100"/>
      <c r="J22" s="100"/>
      <c r="K22" s="101"/>
    </row>
    <row r="23" ht="14.25" customHeight="1" spans="1:44">
      <c r="A23" s="77" t="s">
        <v>65</v>
      </c>
      <c r="B23" s="78" t="s">
        <v>66</v>
      </c>
      <c r="C23" s="78" t="s">
        <v>62</v>
      </c>
      <c r="D23" s="95"/>
      <c r="E23" s="80"/>
      <c r="F23" s="81"/>
      <c r="G23" s="80"/>
      <c r="H23" s="80"/>
      <c r="I23" s="82">
        <v>0</v>
      </c>
      <c r="J23" s="82">
        <v>0</v>
      </c>
      <c r="K23" s="83">
        <f>I23-J23</f>
        <v>0</v>
      </c>
    </row>
    <row r="24" spans="1:44">
      <c r="A24" s="77" t="s">
        <v>67</v>
      </c>
      <c r="B24" s="78" t="s">
        <v>68</v>
      </c>
      <c r="C24" s="78" t="s">
        <v>69</v>
      </c>
      <c r="D24" s="102"/>
      <c r="E24" s="80"/>
      <c r="F24" s="81"/>
      <c r="G24" s="80"/>
      <c r="H24" s="80"/>
      <c r="I24" s="82">
        <v>0</v>
      </c>
      <c r="J24" s="82">
        <v>0</v>
      </c>
      <c r="K24" s="83">
        <f>I24-J24</f>
        <v>0</v>
      </c>
    </row>
    <row r="25" s="54" customFormat="1" ht="14.25" spans="1:44">
      <c r="A25" s="84" t="s">
        <v>70</v>
      </c>
      <c r="B25" s="85" t="s">
        <v>71</v>
      </c>
      <c r="C25" s="85" t="s">
        <v>72</v>
      </c>
      <c r="D25" s="80"/>
      <c r="E25" s="80"/>
      <c r="F25" s="80"/>
      <c r="G25" s="80"/>
      <c r="H25" s="80"/>
      <c r="I25" s="86">
        <v>0</v>
      </c>
      <c r="J25" s="86">
        <v>0</v>
      </c>
      <c r="K25" s="83">
        <f t="shared" ref="K25:K45" si="1">I25-J25</f>
        <v>0</v>
      </c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</row>
    <row r="26" ht="14.25" spans="1:44">
      <c r="A26" s="84" t="s">
        <v>73</v>
      </c>
      <c r="B26" s="85" t="s">
        <v>74</v>
      </c>
      <c r="C26" s="85" t="s">
        <v>75</v>
      </c>
      <c r="D26" s="95"/>
      <c r="E26" s="80"/>
      <c r="F26" s="81"/>
      <c r="G26" s="80"/>
      <c r="H26" s="80"/>
      <c r="I26" s="86">
        <v>0</v>
      </c>
      <c r="J26" s="86">
        <v>0</v>
      </c>
      <c r="K26" s="83">
        <f t="shared" si="1"/>
        <v>0</v>
      </c>
    </row>
    <row r="27" s="54" customFormat="1" ht="25" customHeight="1" spans="1:44">
      <c r="A27" s="84" t="s">
        <v>76</v>
      </c>
      <c r="B27" s="85" t="s">
        <v>77</v>
      </c>
      <c r="C27" s="85" t="s">
        <v>78</v>
      </c>
      <c r="D27" s="80"/>
      <c r="E27" s="80"/>
      <c r="F27" s="80"/>
      <c r="G27" s="80"/>
      <c r="H27" s="80"/>
      <c r="I27" s="86">
        <v>0</v>
      </c>
      <c r="J27" s="86">
        <v>0</v>
      </c>
      <c r="K27" s="83">
        <f t="shared" si="1"/>
        <v>0</v>
      </c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</row>
    <row r="28" ht="25.5" spans="1:44">
      <c r="A28" s="103" t="s">
        <v>76</v>
      </c>
      <c r="B28" s="104" t="s">
        <v>79</v>
      </c>
      <c r="C28" s="104" t="s">
        <v>80</v>
      </c>
      <c r="D28" s="105">
        <v>46569</v>
      </c>
      <c r="E28" s="106">
        <v>2407608</v>
      </c>
      <c r="F28" s="107"/>
      <c r="G28" s="106">
        <v>2000</v>
      </c>
      <c r="H28" s="106">
        <v>2000</v>
      </c>
      <c r="I28" s="108">
        <v>1764</v>
      </c>
      <c r="J28" s="108">
        <v>37</v>
      </c>
      <c r="K28" s="109">
        <f t="shared" si="1"/>
        <v>1727</v>
      </c>
    </row>
    <row r="29" s="54" customFormat="1" ht="26" customHeight="1" spans="1:44">
      <c r="A29" s="84" t="s">
        <v>81</v>
      </c>
      <c r="B29" s="85" t="s">
        <v>82</v>
      </c>
      <c r="C29" s="78"/>
      <c r="D29" s="80"/>
      <c r="E29" s="80"/>
      <c r="F29" s="80"/>
      <c r="G29" s="80"/>
      <c r="H29" s="80"/>
      <c r="I29" s="86">
        <v>0</v>
      </c>
      <c r="J29" s="86">
        <v>0</v>
      </c>
      <c r="K29" s="83">
        <f t="shared" si="1"/>
        <v>0</v>
      </c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</row>
    <row r="30" spans="1:44">
      <c r="A30" s="96" t="s">
        <v>83</v>
      </c>
      <c r="B30" s="97" t="s">
        <v>84</v>
      </c>
      <c r="C30" s="89" t="s">
        <v>85</v>
      </c>
      <c r="D30" s="90" t="s">
        <v>86</v>
      </c>
      <c r="E30" s="91" t="s">
        <v>87</v>
      </c>
      <c r="F30" s="92">
        <v>45546</v>
      </c>
      <c r="G30" s="91">
        <v>1000</v>
      </c>
      <c r="H30" s="91">
        <v>1000</v>
      </c>
      <c r="I30" s="93">
        <v>4156</v>
      </c>
      <c r="J30" s="93">
        <v>0</v>
      </c>
      <c r="K30" s="94">
        <f t="shared" si="1"/>
        <v>4156</v>
      </c>
    </row>
    <row r="31" ht="14.25" spans="1:44">
      <c r="A31" s="96"/>
      <c r="B31" s="97"/>
      <c r="C31" s="97" t="s">
        <v>88</v>
      </c>
      <c r="D31" s="98" t="s">
        <v>42</v>
      </c>
      <c r="E31" s="98">
        <v>241216</v>
      </c>
      <c r="F31" s="99">
        <v>45827</v>
      </c>
      <c r="G31" s="98">
        <v>3000</v>
      </c>
      <c r="H31" s="98">
        <v>3000</v>
      </c>
      <c r="I31" s="100">
        <v>2900</v>
      </c>
      <c r="J31" s="100">
        <v>0</v>
      </c>
      <c r="K31" s="101">
        <f t="shared" si="1"/>
        <v>2900</v>
      </c>
    </row>
    <row r="32" ht="14.25" spans="1:44">
      <c r="A32" s="77" t="s">
        <v>83</v>
      </c>
      <c r="B32" s="78" t="s">
        <v>89</v>
      </c>
      <c r="C32" s="78" t="s">
        <v>90</v>
      </c>
      <c r="D32" s="95"/>
      <c r="E32" s="80"/>
      <c r="F32" s="81"/>
      <c r="G32" s="80"/>
      <c r="H32" s="80"/>
      <c r="I32" s="82">
        <v>0</v>
      </c>
      <c r="J32" s="82">
        <v>0</v>
      </c>
      <c r="K32" s="83">
        <f t="shared" si="1"/>
        <v>0</v>
      </c>
    </row>
    <row r="33" ht="14.25" spans="1:44">
      <c r="A33" s="77" t="s">
        <v>83</v>
      </c>
      <c r="B33" s="78" t="s">
        <v>91</v>
      </c>
      <c r="C33" s="78" t="s">
        <v>92</v>
      </c>
      <c r="D33" s="80"/>
      <c r="E33" s="80"/>
      <c r="F33" s="81"/>
      <c r="G33" s="80"/>
      <c r="H33" s="80"/>
      <c r="I33" s="82">
        <v>0</v>
      </c>
      <c r="J33" s="82">
        <v>0</v>
      </c>
      <c r="K33" s="83">
        <f t="shared" si="1"/>
        <v>0</v>
      </c>
    </row>
    <row r="34" ht="13" customHeight="1" spans="1:44">
      <c r="A34" s="96" t="s">
        <v>93</v>
      </c>
      <c r="B34" s="97" t="s">
        <v>94</v>
      </c>
      <c r="C34" s="97" t="s">
        <v>95</v>
      </c>
      <c r="D34" s="110">
        <v>46905</v>
      </c>
      <c r="E34" s="98">
        <v>2506050</v>
      </c>
      <c r="F34" s="99">
        <v>45968</v>
      </c>
      <c r="G34" s="98">
        <v>10000</v>
      </c>
      <c r="H34" s="98">
        <v>10000</v>
      </c>
      <c r="I34" s="100">
        <v>3140</v>
      </c>
      <c r="J34" s="100">
        <v>212</v>
      </c>
      <c r="K34" s="101">
        <f t="shared" si="1"/>
        <v>2928</v>
      </c>
    </row>
    <row r="35" ht="14.25" spans="1:44">
      <c r="A35" s="96" t="s">
        <v>93</v>
      </c>
      <c r="B35" s="97" t="s">
        <v>96</v>
      </c>
      <c r="C35" s="97" t="s">
        <v>97</v>
      </c>
      <c r="D35" s="110">
        <v>46478</v>
      </c>
      <c r="E35" s="98">
        <v>14198</v>
      </c>
      <c r="F35" s="99">
        <v>45827</v>
      </c>
      <c r="G35" s="98">
        <v>5000</v>
      </c>
      <c r="H35" s="98">
        <v>5000</v>
      </c>
      <c r="I35" s="100">
        <v>5000</v>
      </c>
      <c r="J35" s="100">
        <v>0</v>
      </c>
      <c r="K35" s="101">
        <f t="shared" si="1"/>
        <v>5000</v>
      </c>
    </row>
    <row r="36" ht="14.25" spans="1:44">
      <c r="A36" s="77" t="s">
        <v>93</v>
      </c>
      <c r="B36" s="78" t="s">
        <v>98</v>
      </c>
      <c r="C36" s="78" t="s">
        <v>99</v>
      </c>
      <c r="D36" s="79"/>
      <c r="E36" s="80"/>
      <c r="F36" s="81"/>
      <c r="G36" s="80"/>
      <c r="H36" s="80"/>
      <c r="I36" s="82">
        <v>0</v>
      </c>
      <c r="J36" s="82">
        <v>0</v>
      </c>
      <c r="K36" s="83">
        <f t="shared" si="1"/>
        <v>0</v>
      </c>
    </row>
    <row r="37" spans="1:44">
      <c r="A37" s="96" t="s">
        <v>100</v>
      </c>
      <c r="B37" s="97" t="s">
        <v>101</v>
      </c>
      <c r="C37" s="97" t="s">
        <v>102</v>
      </c>
      <c r="D37" s="110">
        <v>46447</v>
      </c>
      <c r="E37" s="98">
        <v>53279</v>
      </c>
      <c r="F37" s="99">
        <v>45827</v>
      </c>
      <c r="G37" s="98">
        <v>5000</v>
      </c>
      <c r="H37" s="98">
        <v>5000</v>
      </c>
      <c r="I37" s="100">
        <v>3125</v>
      </c>
      <c r="J37" s="100">
        <v>45</v>
      </c>
      <c r="K37" s="101">
        <f t="shared" si="1"/>
        <v>3080</v>
      </c>
    </row>
    <row r="38" ht="14.25" spans="1:44">
      <c r="A38" s="96" t="s">
        <v>103</v>
      </c>
      <c r="B38" s="97" t="s">
        <v>104</v>
      </c>
      <c r="C38" s="97" t="s">
        <v>105</v>
      </c>
      <c r="D38" s="98"/>
      <c r="E38" s="98"/>
      <c r="F38" s="98">
        <v>11072025</v>
      </c>
      <c r="G38" s="98">
        <v>400</v>
      </c>
      <c r="H38" s="98">
        <v>400</v>
      </c>
      <c r="I38" s="100">
        <v>361</v>
      </c>
      <c r="J38" s="100">
        <v>0</v>
      </c>
      <c r="K38" s="101">
        <f t="shared" si="1"/>
        <v>361</v>
      </c>
    </row>
    <row r="39" customHeight="1" spans="1:44">
      <c r="A39" s="84" t="s">
        <v>106</v>
      </c>
      <c r="B39" s="85" t="s">
        <v>107</v>
      </c>
      <c r="C39" s="85" t="s">
        <v>108</v>
      </c>
      <c r="D39" s="80"/>
      <c r="E39" s="80"/>
      <c r="F39" s="80"/>
      <c r="G39" s="80"/>
      <c r="H39" s="80"/>
      <c r="I39" s="86">
        <v>0</v>
      </c>
      <c r="J39" s="86">
        <v>0</v>
      </c>
      <c r="K39" s="83">
        <f t="shared" si="1"/>
        <v>0</v>
      </c>
    </row>
    <row r="40" ht="14.25" spans="1:44">
      <c r="A40" s="84" t="s">
        <v>109</v>
      </c>
      <c r="B40" s="85" t="s">
        <v>110</v>
      </c>
      <c r="C40" s="85" t="s">
        <v>111</v>
      </c>
      <c r="D40" s="80"/>
      <c r="E40" s="80"/>
      <c r="F40" s="80"/>
      <c r="G40" s="80"/>
      <c r="H40" s="80"/>
      <c r="I40" s="86">
        <v>0</v>
      </c>
      <c r="J40" s="86">
        <v>0</v>
      </c>
      <c r="K40" s="83">
        <f t="shared" si="1"/>
        <v>0</v>
      </c>
    </row>
    <row r="41" s="54" customFormat="1" ht="10" customHeight="1" spans="1:44">
      <c r="A41" s="84" t="s">
        <v>109</v>
      </c>
      <c r="B41" s="85" t="s">
        <v>112</v>
      </c>
      <c r="C41" s="85" t="s">
        <v>111</v>
      </c>
      <c r="D41" s="111"/>
      <c r="E41" s="111"/>
      <c r="F41" s="80"/>
      <c r="G41" s="80"/>
      <c r="H41" s="80"/>
      <c r="I41" s="86">
        <v>0</v>
      </c>
      <c r="J41" s="86">
        <v>0</v>
      </c>
      <c r="K41" s="83">
        <f t="shared" si="1"/>
        <v>0</v>
      </c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55"/>
      <c r="AL41" s="55"/>
      <c r="AM41" s="55"/>
      <c r="AN41" s="55"/>
      <c r="AO41" s="55"/>
      <c r="AP41" s="55"/>
      <c r="AQ41" s="55"/>
      <c r="AR41" s="55"/>
    </row>
    <row r="42" ht="13" customHeight="1" spans="1:44">
      <c r="A42" s="84" t="s">
        <v>113</v>
      </c>
      <c r="B42" s="85" t="s">
        <v>114</v>
      </c>
      <c r="C42" s="85" t="s">
        <v>115</v>
      </c>
      <c r="D42" s="95"/>
      <c r="E42" s="80"/>
      <c r="F42" s="81"/>
      <c r="G42" s="80"/>
      <c r="H42" s="80"/>
      <c r="I42" s="86">
        <v>0</v>
      </c>
      <c r="J42" s="86">
        <v>0</v>
      </c>
      <c r="K42" s="83">
        <f t="shared" si="1"/>
        <v>0</v>
      </c>
    </row>
    <row r="43" ht="14.25" spans="1:44">
      <c r="A43" s="84" t="s">
        <v>113</v>
      </c>
      <c r="B43" s="85" t="s">
        <v>116</v>
      </c>
      <c r="C43" s="85" t="s">
        <v>117</v>
      </c>
      <c r="D43" s="111"/>
      <c r="E43" s="111"/>
      <c r="F43" s="112"/>
      <c r="G43" s="111"/>
      <c r="H43" s="111"/>
      <c r="I43" s="86">
        <v>0</v>
      </c>
      <c r="J43" s="86">
        <v>0</v>
      </c>
      <c r="K43" s="83">
        <f t="shared" si="1"/>
        <v>0</v>
      </c>
    </row>
    <row r="44" ht="14.25" spans="1:44">
      <c r="A44" s="77" t="s">
        <v>118</v>
      </c>
      <c r="B44" s="78" t="s">
        <v>119</v>
      </c>
      <c r="C44" s="78" t="s">
        <v>120</v>
      </c>
      <c r="D44" s="80"/>
      <c r="E44" s="80"/>
      <c r="F44" s="81"/>
      <c r="G44" s="80"/>
      <c r="H44" s="80"/>
      <c r="I44" s="82">
        <v>0</v>
      </c>
      <c r="J44" s="82">
        <v>0</v>
      </c>
      <c r="K44" s="83">
        <f t="shared" si="1"/>
        <v>0</v>
      </c>
    </row>
    <row r="45" ht="14.25" spans="1:44">
      <c r="A45" s="77" t="s">
        <v>121</v>
      </c>
      <c r="B45" s="78" t="s">
        <v>122</v>
      </c>
      <c r="C45" s="78" t="s">
        <v>123</v>
      </c>
      <c r="D45" s="80"/>
      <c r="E45" s="80"/>
      <c r="F45" s="81"/>
      <c r="G45" s="80"/>
      <c r="H45" s="80"/>
      <c r="I45" s="82">
        <v>0</v>
      </c>
      <c r="J45" s="82">
        <v>0</v>
      </c>
      <c r="K45" s="83">
        <f t="shared" si="1"/>
        <v>0</v>
      </c>
    </row>
    <row r="46" ht="14.25" spans="1:44">
      <c r="A46" s="77" t="s">
        <v>121</v>
      </c>
      <c r="B46" s="78" t="s">
        <v>124</v>
      </c>
      <c r="C46" s="78" t="s">
        <v>125</v>
      </c>
      <c r="D46" s="79"/>
      <c r="E46" s="80"/>
      <c r="F46" s="81"/>
      <c r="G46" s="80"/>
      <c r="H46" s="80"/>
      <c r="I46" s="82">
        <v>0</v>
      </c>
      <c r="J46" s="82">
        <v>0</v>
      </c>
      <c r="K46" s="83">
        <f t="shared" ref="K32:K54" si="2">I46-J46</f>
        <v>0</v>
      </c>
    </row>
    <row r="47" ht="14.25" spans="1:44">
      <c r="A47" s="77" t="s">
        <v>126</v>
      </c>
      <c r="B47" s="78" t="s">
        <v>127</v>
      </c>
      <c r="C47" s="78" t="s">
        <v>128</v>
      </c>
      <c r="D47" s="79"/>
      <c r="E47" s="80"/>
      <c r="F47" s="81"/>
      <c r="G47" s="80"/>
      <c r="H47" s="80"/>
      <c r="I47" s="113">
        <v>0</v>
      </c>
      <c r="J47" s="82">
        <v>0</v>
      </c>
      <c r="K47" s="114">
        <f t="shared" si="2"/>
        <v>0</v>
      </c>
    </row>
    <row r="48" ht="13" customHeight="1" spans="1:44">
      <c r="A48" s="84" t="s">
        <v>129</v>
      </c>
      <c r="B48" s="85" t="s">
        <v>130</v>
      </c>
      <c r="C48" s="85" t="s">
        <v>131</v>
      </c>
      <c r="D48" s="80"/>
      <c r="E48" s="80"/>
      <c r="F48" s="80"/>
      <c r="G48" s="80"/>
      <c r="H48" s="80"/>
      <c r="I48" s="86">
        <v>0</v>
      </c>
      <c r="J48" s="86">
        <v>0</v>
      </c>
      <c r="K48" s="83">
        <f t="shared" si="2"/>
        <v>0</v>
      </c>
    </row>
    <row r="49" spans="1:44">
      <c r="A49" s="88" t="s">
        <v>132</v>
      </c>
      <c r="B49" s="89" t="s">
        <v>133</v>
      </c>
      <c r="C49" s="89" t="s">
        <v>120</v>
      </c>
      <c r="D49" s="115" t="s">
        <v>26</v>
      </c>
      <c r="E49" s="91" t="s">
        <v>134</v>
      </c>
      <c r="F49" s="92">
        <v>46244</v>
      </c>
      <c r="G49" s="91">
        <v>38</v>
      </c>
      <c r="H49" s="91">
        <v>38</v>
      </c>
      <c r="I49" s="93">
        <v>11</v>
      </c>
      <c r="J49" s="93">
        <v>4</v>
      </c>
      <c r="K49" s="94">
        <f t="shared" si="2"/>
        <v>7</v>
      </c>
    </row>
    <row r="50" ht="25.5" spans="1:44">
      <c r="A50" s="96" t="s">
        <v>135</v>
      </c>
      <c r="B50" s="97" t="s">
        <v>136</v>
      </c>
      <c r="C50" s="97" t="s">
        <v>137</v>
      </c>
      <c r="D50" s="110">
        <v>46447</v>
      </c>
      <c r="E50" s="98">
        <v>240301</v>
      </c>
      <c r="F50" s="99">
        <v>45827</v>
      </c>
      <c r="G50" s="98">
        <v>20000</v>
      </c>
      <c r="H50" s="98">
        <v>20000</v>
      </c>
      <c r="I50" s="100">
        <v>16697</v>
      </c>
      <c r="J50" s="100">
        <v>53</v>
      </c>
      <c r="K50" s="101">
        <f t="shared" si="2"/>
        <v>16644</v>
      </c>
    </row>
    <row r="51" s="54" customFormat="1" ht="30" customHeight="1" spans="1:44">
      <c r="A51" s="84" t="s">
        <v>138</v>
      </c>
      <c r="B51" s="85" t="s">
        <v>139</v>
      </c>
      <c r="C51" s="78"/>
      <c r="D51" s="80"/>
      <c r="E51" s="80"/>
      <c r="F51" s="80"/>
      <c r="G51" s="80"/>
      <c r="H51" s="80"/>
      <c r="I51" s="86">
        <v>0</v>
      </c>
      <c r="J51" s="86">
        <v>0</v>
      </c>
      <c r="K51" s="83">
        <f t="shared" si="2"/>
        <v>0</v>
      </c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5"/>
      <c r="AQ51" s="55"/>
      <c r="AR51" s="55"/>
    </row>
    <row r="52" s="54" customFormat="1" ht="25.5" spans="1:44">
      <c r="A52" s="84" t="s">
        <v>140</v>
      </c>
      <c r="B52" s="85" t="s">
        <v>141</v>
      </c>
      <c r="C52" s="85" t="s">
        <v>142</v>
      </c>
      <c r="D52" s="80"/>
      <c r="E52" s="80"/>
      <c r="F52" s="80"/>
      <c r="G52" s="80"/>
      <c r="H52" s="80"/>
      <c r="I52" s="86">
        <v>0</v>
      </c>
      <c r="J52" s="86">
        <v>0</v>
      </c>
      <c r="K52" s="83">
        <f t="shared" si="2"/>
        <v>0</v>
      </c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5"/>
      <c r="AR52" s="55"/>
    </row>
    <row r="53" ht="14.25" spans="1:44">
      <c r="A53" s="77" t="s">
        <v>143</v>
      </c>
      <c r="B53" s="78" t="s">
        <v>136</v>
      </c>
      <c r="C53" s="78" t="s">
        <v>144</v>
      </c>
      <c r="D53" s="95"/>
      <c r="E53" s="80"/>
      <c r="F53" s="81"/>
      <c r="G53" s="80"/>
      <c r="H53" s="80"/>
      <c r="I53" s="82">
        <v>0</v>
      </c>
      <c r="J53" s="82">
        <v>0</v>
      </c>
      <c r="K53" s="83">
        <f t="shared" si="2"/>
        <v>0</v>
      </c>
    </row>
    <row r="54" ht="12" customHeight="1" spans="1:44">
      <c r="A54" s="88" t="s">
        <v>145</v>
      </c>
      <c r="B54" s="89" t="s">
        <v>146</v>
      </c>
      <c r="C54" s="89" t="s">
        <v>147</v>
      </c>
      <c r="D54" s="90" t="s">
        <v>26</v>
      </c>
      <c r="E54" s="91">
        <v>649230803</v>
      </c>
      <c r="F54" s="92">
        <v>45433</v>
      </c>
      <c r="G54" s="91">
        <v>2000</v>
      </c>
      <c r="H54" s="91">
        <v>5300</v>
      </c>
      <c r="I54" s="93">
        <v>1404</v>
      </c>
      <c r="J54" s="93">
        <v>0</v>
      </c>
      <c r="K54" s="94">
        <f t="shared" si="2"/>
        <v>1404</v>
      </c>
    </row>
    <row r="55" ht="14.25" spans="1:44">
      <c r="A55" s="84" t="s">
        <v>148</v>
      </c>
      <c r="B55" s="85" t="s">
        <v>146</v>
      </c>
      <c r="C55" s="85" t="s">
        <v>149</v>
      </c>
      <c r="D55" s="95"/>
      <c r="E55" s="80"/>
      <c r="F55" s="81"/>
      <c r="G55" s="80"/>
      <c r="H55" s="80"/>
      <c r="I55" s="86">
        <v>0</v>
      </c>
      <c r="J55" s="86">
        <v>0</v>
      </c>
      <c r="K55" s="87">
        <v>0</v>
      </c>
    </row>
    <row r="56" ht="14.25" spans="1:44">
      <c r="A56" s="84" t="s">
        <v>150</v>
      </c>
      <c r="B56" s="85" t="s">
        <v>146</v>
      </c>
      <c r="C56" s="85" t="s">
        <v>151</v>
      </c>
      <c r="D56" s="80"/>
      <c r="E56" s="80"/>
      <c r="F56" s="81"/>
      <c r="G56" s="80"/>
      <c r="H56" s="80"/>
      <c r="I56" s="86">
        <v>0</v>
      </c>
      <c r="J56" s="86">
        <v>0</v>
      </c>
      <c r="K56" s="87">
        <f>I56-J56</f>
        <v>0</v>
      </c>
    </row>
    <row r="57" ht="18" customHeight="1" spans="1:44">
      <c r="A57" s="116" t="s">
        <v>152</v>
      </c>
      <c r="B57" s="117" t="s">
        <v>146</v>
      </c>
      <c r="C57" s="97" t="s">
        <v>153</v>
      </c>
      <c r="D57" s="98" t="s">
        <v>154</v>
      </c>
      <c r="E57" s="98" t="s">
        <v>155</v>
      </c>
      <c r="F57" s="99">
        <v>45827</v>
      </c>
      <c r="G57" s="98">
        <v>2784</v>
      </c>
      <c r="H57" s="98">
        <v>2784</v>
      </c>
      <c r="I57" s="100">
        <v>1126</v>
      </c>
      <c r="J57" s="100">
        <v>31</v>
      </c>
      <c r="K57" s="118">
        <f>I57-J57</f>
        <v>1095</v>
      </c>
    </row>
    <row r="58" ht="14.25" spans="1:44">
      <c r="A58" s="119"/>
      <c r="B58" s="120"/>
      <c r="C58" s="121" t="s">
        <v>156</v>
      </c>
      <c r="D58" s="105">
        <v>46874</v>
      </c>
      <c r="E58" s="106" t="s">
        <v>157</v>
      </c>
      <c r="F58" s="107">
        <v>46204</v>
      </c>
      <c r="G58" s="106">
        <v>1</v>
      </c>
      <c r="H58" s="106">
        <v>1</v>
      </c>
      <c r="I58" s="122">
        <v>1</v>
      </c>
      <c r="J58" s="122">
        <v>0</v>
      </c>
      <c r="K58" s="118">
        <v>1</v>
      </c>
    </row>
    <row r="59" ht="14.25" spans="1:44">
      <c r="A59" s="84" t="s">
        <v>158</v>
      </c>
      <c r="B59" s="85" t="s">
        <v>159</v>
      </c>
      <c r="C59" s="85" t="s">
        <v>160</v>
      </c>
      <c r="D59" s="95"/>
      <c r="E59" s="80"/>
      <c r="F59" s="81"/>
      <c r="G59" s="80"/>
      <c r="H59" s="80"/>
      <c r="I59" s="86">
        <v>0</v>
      </c>
      <c r="J59" s="86">
        <v>0</v>
      </c>
      <c r="K59" s="87">
        <f t="shared" ref="K59:K72" si="3">I59-J59</f>
        <v>0</v>
      </c>
    </row>
    <row r="60" ht="14.25" spans="1:44">
      <c r="A60" s="84" t="s">
        <v>161</v>
      </c>
      <c r="B60" s="85" t="s">
        <v>162</v>
      </c>
      <c r="C60" s="85" t="s">
        <v>163</v>
      </c>
      <c r="D60" s="80"/>
      <c r="E60" s="80"/>
      <c r="F60" s="80"/>
      <c r="G60" s="80"/>
      <c r="H60" s="80"/>
      <c r="I60" s="86">
        <v>0</v>
      </c>
      <c r="J60" s="86">
        <v>0</v>
      </c>
      <c r="K60" s="87">
        <f t="shared" si="3"/>
        <v>0</v>
      </c>
    </row>
    <row r="61" ht="14.25" spans="1:44">
      <c r="A61" s="77" t="s">
        <v>164</v>
      </c>
      <c r="B61" s="78" t="s">
        <v>94</v>
      </c>
      <c r="C61" s="78" t="s">
        <v>165</v>
      </c>
      <c r="D61" s="95"/>
      <c r="E61" s="80"/>
      <c r="F61" s="81"/>
      <c r="G61" s="80"/>
      <c r="H61" s="80"/>
      <c r="I61" s="82">
        <v>0</v>
      </c>
      <c r="J61" s="82">
        <v>0</v>
      </c>
      <c r="K61" s="87">
        <f t="shared" si="3"/>
        <v>0</v>
      </c>
    </row>
    <row r="62" s="54" customFormat="1" ht="25" customHeight="1" spans="1:44">
      <c r="A62" s="84" t="s">
        <v>161</v>
      </c>
      <c r="B62" s="85" t="s">
        <v>166</v>
      </c>
      <c r="C62" s="85" t="s">
        <v>167</v>
      </c>
      <c r="D62" s="80"/>
      <c r="E62" s="80"/>
      <c r="F62" s="80"/>
      <c r="G62" s="80"/>
      <c r="H62" s="80"/>
      <c r="I62" s="86">
        <v>0</v>
      </c>
      <c r="J62" s="86">
        <v>0</v>
      </c>
      <c r="K62" s="83">
        <f t="shared" si="3"/>
        <v>0</v>
      </c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  <c r="AK62" s="55"/>
      <c r="AL62" s="55"/>
      <c r="AM62" s="55"/>
      <c r="AN62" s="55"/>
      <c r="AO62" s="55"/>
      <c r="AP62" s="55"/>
      <c r="AQ62" s="55"/>
      <c r="AR62" s="55"/>
    </row>
    <row r="63" ht="14.25" spans="1:44">
      <c r="A63" s="84" t="s">
        <v>168</v>
      </c>
      <c r="B63" s="85" t="s">
        <v>169</v>
      </c>
      <c r="C63" s="85" t="s">
        <v>170</v>
      </c>
      <c r="D63" s="80"/>
      <c r="E63" s="80"/>
      <c r="F63" s="80"/>
      <c r="G63" s="80"/>
      <c r="H63" s="80"/>
      <c r="I63" s="86">
        <v>0</v>
      </c>
      <c r="J63" s="86">
        <v>0</v>
      </c>
      <c r="K63" s="87">
        <f t="shared" si="3"/>
        <v>0</v>
      </c>
    </row>
    <row r="64" ht="14.25" spans="1:44">
      <c r="A64" s="88" t="s">
        <v>171</v>
      </c>
      <c r="B64" s="89" t="s">
        <v>172</v>
      </c>
      <c r="C64" s="89" t="s">
        <v>173</v>
      </c>
      <c r="D64" s="90" t="s">
        <v>86</v>
      </c>
      <c r="E64" s="91" t="s">
        <v>174</v>
      </c>
      <c r="F64" s="92">
        <v>45968</v>
      </c>
      <c r="G64" s="91">
        <v>500</v>
      </c>
      <c r="H64" s="91">
        <v>500</v>
      </c>
      <c r="I64" s="93">
        <v>388</v>
      </c>
      <c r="J64" s="93">
        <v>0</v>
      </c>
      <c r="K64" s="94">
        <f t="shared" si="3"/>
        <v>388</v>
      </c>
    </row>
    <row r="65" ht="14.25" spans="1:44">
      <c r="A65" s="77" t="s">
        <v>175</v>
      </c>
      <c r="B65" s="78" t="s">
        <v>176</v>
      </c>
      <c r="C65" s="78" t="s">
        <v>177</v>
      </c>
      <c r="D65" s="80"/>
      <c r="E65" s="80"/>
      <c r="F65" s="81"/>
      <c r="G65" s="80"/>
      <c r="H65" s="80"/>
      <c r="I65" s="82">
        <v>0</v>
      </c>
      <c r="J65" s="82">
        <v>0</v>
      </c>
      <c r="K65" s="83">
        <f t="shared" si="3"/>
        <v>0</v>
      </c>
    </row>
    <row r="66" ht="18" customHeight="1" spans="1:44">
      <c r="A66" s="77" t="s">
        <v>178</v>
      </c>
      <c r="B66" s="78" t="s">
        <v>179</v>
      </c>
      <c r="C66" s="78" t="s">
        <v>180</v>
      </c>
      <c r="D66" s="80"/>
      <c r="E66" s="80"/>
      <c r="F66" s="81"/>
      <c r="G66" s="80"/>
      <c r="H66" s="80"/>
      <c r="I66" s="82">
        <v>0</v>
      </c>
      <c r="J66" s="82">
        <v>0</v>
      </c>
      <c r="K66" s="83">
        <f t="shared" si="3"/>
        <v>0</v>
      </c>
    </row>
    <row r="67" s="54" customFormat="1" ht="14.25" spans="1:44">
      <c r="A67" s="84" t="s">
        <v>181</v>
      </c>
      <c r="B67" s="85" t="s">
        <v>182</v>
      </c>
      <c r="C67" s="78"/>
      <c r="D67" s="80"/>
      <c r="E67" s="80"/>
      <c r="F67" s="80"/>
      <c r="G67" s="80"/>
      <c r="H67" s="80"/>
      <c r="I67" s="86">
        <v>0</v>
      </c>
      <c r="J67" s="86">
        <v>0</v>
      </c>
      <c r="K67" s="83">
        <f t="shared" si="3"/>
        <v>0</v>
      </c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/>
      <c r="AO67" s="55"/>
      <c r="AP67" s="55"/>
      <c r="AQ67" s="55"/>
      <c r="AR67" s="55"/>
    </row>
    <row r="68" ht="16" customHeight="1" spans="1:44">
      <c r="A68" s="77" t="s">
        <v>183</v>
      </c>
      <c r="B68" s="78" t="s">
        <v>184</v>
      </c>
      <c r="C68" s="78" t="s">
        <v>185</v>
      </c>
      <c r="D68" s="95"/>
      <c r="E68" s="80"/>
      <c r="F68" s="81"/>
      <c r="G68" s="80"/>
      <c r="H68" s="80"/>
      <c r="I68" s="82">
        <v>0</v>
      </c>
      <c r="J68" s="82">
        <v>0</v>
      </c>
      <c r="K68" s="83">
        <f t="shared" si="3"/>
        <v>0</v>
      </c>
    </row>
    <row r="69" ht="14.25" spans="1:44">
      <c r="A69" s="96" t="s">
        <v>186</v>
      </c>
      <c r="B69" s="97" t="s">
        <v>94</v>
      </c>
      <c r="C69" s="97" t="s">
        <v>187</v>
      </c>
      <c r="D69" s="110">
        <v>46478</v>
      </c>
      <c r="E69" s="98" t="s">
        <v>188</v>
      </c>
      <c r="F69" s="99">
        <v>45705</v>
      </c>
      <c r="G69" s="98">
        <v>270</v>
      </c>
      <c r="H69" s="98">
        <v>270</v>
      </c>
      <c r="I69" s="100">
        <v>210</v>
      </c>
      <c r="J69" s="100">
        <v>0</v>
      </c>
      <c r="K69" s="101">
        <f t="shared" si="3"/>
        <v>210</v>
      </c>
    </row>
    <row r="70" ht="25.5" spans="1:44">
      <c r="A70" s="96" t="s">
        <v>186</v>
      </c>
      <c r="B70" s="97" t="s">
        <v>189</v>
      </c>
      <c r="C70" s="97" t="s">
        <v>190</v>
      </c>
      <c r="D70" s="98" t="s">
        <v>191</v>
      </c>
      <c r="E70" s="98">
        <v>87</v>
      </c>
      <c r="F70" s="99">
        <v>45827</v>
      </c>
      <c r="G70" s="98">
        <v>1000</v>
      </c>
      <c r="H70" s="98">
        <v>1000</v>
      </c>
      <c r="I70" s="100">
        <v>1000</v>
      </c>
      <c r="J70" s="100">
        <v>0</v>
      </c>
      <c r="K70" s="101">
        <f t="shared" si="3"/>
        <v>1000</v>
      </c>
    </row>
    <row r="71" s="54" customFormat="1" ht="39" customHeight="1" spans="1:44">
      <c r="A71" s="84" t="s">
        <v>186</v>
      </c>
      <c r="B71" s="85" t="s">
        <v>192</v>
      </c>
      <c r="C71" s="85" t="s">
        <v>190</v>
      </c>
      <c r="D71" s="80"/>
      <c r="E71" s="80"/>
      <c r="F71" s="80"/>
      <c r="G71" s="80"/>
      <c r="H71" s="80"/>
      <c r="I71" s="86">
        <v>0</v>
      </c>
      <c r="J71" s="86">
        <v>0</v>
      </c>
      <c r="K71" s="83">
        <f t="shared" si="3"/>
        <v>0</v>
      </c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  <c r="AK71" s="55"/>
      <c r="AL71" s="55"/>
      <c r="AM71" s="55"/>
      <c r="AN71" s="55"/>
      <c r="AO71" s="55"/>
      <c r="AP71" s="55"/>
      <c r="AQ71" s="55"/>
      <c r="AR71" s="55"/>
    </row>
    <row r="72" ht="14.25" spans="1:44">
      <c r="A72" s="96" t="s">
        <v>193</v>
      </c>
      <c r="B72" s="97" t="s">
        <v>194</v>
      </c>
      <c r="C72" s="89" t="s">
        <v>195</v>
      </c>
      <c r="D72" s="90" t="s">
        <v>26</v>
      </c>
      <c r="E72" s="91" t="s">
        <v>196</v>
      </c>
      <c r="F72" s="92">
        <v>45433</v>
      </c>
      <c r="G72" s="91">
        <v>2000</v>
      </c>
      <c r="H72" s="91">
        <v>2000</v>
      </c>
      <c r="I72" s="93">
        <v>752</v>
      </c>
      <c r="J72" s="93">
        <v>0</v>
      </c>
      <c r="K72" s="94">
        <f t="shared" si="3"/>
        <v>752</v>
      </c>
    </row>
    <row r="73" ht="14.25" spans="1:44">
      <c r="A73" s="96"/>
      <c r="B73" s="97"/>
      <c r="C73" s="97" t="s">
        <v>197</v>
      </c>
      <c r="D73" s="98" t="s">
        <v>198</v>
      </c>
      <c r="E73" s="98">
        <v>58463</v>
      </c>
      <c r="F73" s="99">
        <v>45968</v>
      </c>
      <c r="G73" s="98">
        <v>300</v>
      </c>
      <c r="H73" s="98">
        <v>300</v>
      </c>
      <c r="I73" s="100">
        <v>300</v>
      </c>
      <c r="J73" s="100">
        <v>0</v>
      </c>
      <c r="K73" s="101">
        <f t="shared" ref="K73:K83" si="4">I73-J73</f>
        <v>300</v>
      </c>
    </row>
    <row r="74" ht="14.25" spans="1:44">
      <c r="A74" s="84" t="s">
        <v>199</v>
      </c>
      <c r="B74" s="85" t="s">
        <v>200</v>
      </c>
      <c r="C74" s="85" t="s">
        <v>201</v>
      </c>
      <c r="D74" s="80"/>
      <c r="E74" s="80"/>
      <c r="F74" s="81"/>
      <c r="G74" s="80"/>
      <c r="H74" s="80"/>
      <c r="I74" s="86">
        <v>0</v>
      </c>
      <c r="J74" s="86">
        <v>0</v>
      </c>
      <c r="K74" s="87">
        <f t="shared" si="4"/>
        <v>0</v>
      </c>
    </row>
    <row r="75" customHeight="1" spans="1:44">
      <c r="A75" s="84" t="s">
        <v>199</v>
      </c>
      <c r="B75" s="85" t="s">
        <v>202</v>
      </c>
      <c r="C75" s="78"/>
      <c r="D75" s="80"/>
      <c r="E75" s="80"/>
      <c r="F75" s="80"/>
      <c r="G75" s="80"/>
      <c r="H75" s="80"/>
      <c r="I75" s="86">
        <v>0</v>
      </c>
      <c r="J75" s="86">
        <v>0</v>
      </c>
      <c r="K75" s="87">
        <f t="shared" si="4"/>
        <v>0</v>
      </c>
    </row>
    <row r="76" spans="1:44">
      <c r="A76" s="96" t="s">
        <v>203</v>
      </c>
      <c r="B76" s="97" t="s">
        <v>204</v>
      </c>
      <c r="C76" s="97" t="s">
        <v>205</v>
      </c>
      <c r="D76" s="110">
        <v>46508</v>
      </c>
      <c r="E76" s="98" t="s">
        <v>206</v>
      </c>
      <c r="F76" s="99">
        <v>45968</v>
      </c>
      <c r="G76" s="98">
        <v>9000</v>
      </c>
      <c r="H76" s="98">
        <v>9000</v>
      </c>
      <c r="I76" s="100">
        <v>6267</v>
      </c>
      <c r="J76" s="123">
        <v>68</v>
      </c>
      <c r="K76" s="124">
        <f t="shared" si="4"/>
        <v>6199</v>
      </c>
    </row>
    <row r="77" ht="14.25" spans="1:44">
      <c r="A77" s="88" t="s">
        <v>207</v>
      </c>
      <c r="B77" s="89" t="s">
        <v>208</v>
      </c>
      <c r="C77" s="89" t="s">
        <v>209</v>
      </c>
      <c r="D77" s="90" t="s">
        <v>86</v>
      </c>
      <c r="E77" s="91" t="s">
        <v>210</v>
      </c>
      <c r="F77" s="92">
        <v>45876</v>
      </c>
      <c r="G77" s="91">
        <v>100</v>
      </c>
      <c r="H77" s="91">
        <v>100</v>
      </c>
      <c r="I77" s="93">
        <v>94</v>
      </c>
      <c r="J77" s="93">
        <v>0</v>
      </c>
      <c r="K77" s="94">
        <f t="shared" si="4"/>
        <v>94</v>
      </c>
    </row>
    <row r="78" ht="14.25" spans="1:44">
      <c r="A78" s="77" t="s">
        <v>207</v>
      </c>
      <c r="B78" s="78" t="s">
        <v>211</v>
      </c>
      <c r="C78" s="78" t="s">
        <v>212</v>
      </c>
      <c r="D78" s="79"/>
      <c r="E78" s="80"/>
      <c r="F78" s="81"/>
      <c r="G78" s="80"/>
      <c r="H78" s="80"/>
      <c r="I78" s="82">
        <v>0</v>
      </c>
      <c r="J78" s="82">
        <v>0</v>
      </c>
      <c r="K78" s="87">
        <f t="shared" si="4"/>
        <v>0</v>
      </c>
    </row>
    <row r="79" ht="14.25" spans="1:44">
      <c r="A79" s="77" t="s">
        <v>207</v>
      </c>
      <c r="B79" s="78" t="s">
        <v>213</v>
      </c>
      <c r="C79" s="78" t="s">
        <v>214</v>
      </c>
      <c r="D79" s="95"/>
      <c r="E79" s="80"/>
      <c r="F79" s="81"/>
      <c r="G79" s="80"/>
      <c r="H79" s="80"/>
      <c r="I79" s="82">
        <v>0</v>
      </c>
      <c r="J79" s="82">
        <v>0</v>
      </c>
      <c r="K79" s="83">
        <f t="shared" si="4"/>
        <v>0</v>
      </c>
    </row>
    <row r="80" ht="27" customHeight="1" spans="1:44">
      <c r="A80" s="77" t="s">
        <v>215</v>
      </c>
      <c r="B80" s="78" t="s">
        <v>216</v>
      </c>
      <c r="C80" s="78"/>
      <c r="D80" s="95"/>
      <c r="E80" s="80"/>
      <c r="F80" s="81"/>
      <c r="G80" s="80"/>
      <c r="H80" s="80"/>
      <c r="I80" s="82">
        <v>0</v>
      </c>
      <c r="J80" s="82">
        <v>0</v>
      </c>
      <c r="K80" s="87">
        <f t="shared" si="4"/>
        <v>0</v>
      </c>
    </row>
    <row r="81" ht="27" customHeight="1" spans="1:44">
      <c r="A81" s="96" t="s">
        <v>215</v>
      </c>
      <c r="B81" s="97" t="s">
        <v>217</v>
      </c>
      <c r="C81" s="97" t="s">
        <v>218</v>
      </c>
      <c r="D81" s="110">
        <v>46508</v>
      </c>
      <c r="E81" s="98">
        <v>25569001</v>
      </c>
      <c r="F81" s="99">
        <v>45968</v>
      </c>
      <c r="G81" s="98">
        <v>144</v>
      </c>
      <c r="H81" s="98">
        <v>144</v>
      </c>
      <c r="I81" s="100">
        <v>144</v>
      </c>
      <c r="J81" s="100">
        <v>0</v>
      </c>
      <c r="K81" s="101">
        <f t="shared" si="4"/>
        <v>144</v>
      </c>
    </row>
    <row r="82" ht="39" customHeight="1" spans="1:44">
      <c r="A82" s="88" t="s">
        <v>215</v>
      </c>
      <c r="B82" s="89" t="s">
        <v>219</v>
      </c>
      <c r="C82" s="89" t="s">
        <v>220</v>
      </c>
      <c r="D82" s="90" t="s">
        <v>34</v>
      </c>
      <c r="E82" s="91" t="s">
        <v>221</v>
      </c>
      <c r="F82" s="92">
        <v>45968</v>
      </c>
      <c r="G82" s="91">
        <v>64</v>
      </c>
      <c r="H82" s="91">
        <v>64</v>
      </c>
      <c r="I82" s="93">
        <v>62</v>
      </c>
      <c r="J82" s="93">
        <v>0</v>
      </c>
      <c r="K82" s="94">
        <f t="shared" si="4"/>
        <v>62</v>
      </c>
    </row>
    <row r="83" ht="16" customHeight="1" spans="1:44">
      <c r="A83" s="77" t="s">
        <v>222</v>
      </c>
      <c r="B83" s="78" t="s">
        <v>223</v>
      </c>
      <c r="C83" s="78" t="s">
        <v>224</v>
      </c>
      <c r="D83" s="80"/>
      <c r="E83" s="80"/>
      <c r="F83" s="81"/>
      <c r="G83" s="80"/>
      <c r="H83" s="80"/>
      <c r="I83" s="82">
        <v>0</v>
      </c>
      <c r="J83" s="82">
        <v>0</v>
      </c>
      <c r="K83" s="87">
        <f t="shared" si="4"/>
        <v>0</v>
      </c>
    </row>
    <row r="84" ht="14.25" spans="1:44">
      <c r="A84" s="88" t="s">
        <v>225</v>
      </c>
      <c r="B84" s="89" t="s">
        <v>226</v>
      </c>
      <c r="C84" s="89" t="s">
        <v>227</v>
      </c>
      <c r="D84" s="90" t="s">
        <v>34</v>
      </c>
      <c r="E84" s="91">
        <v>324004</v>
      </c>
      <c r="F84" s="92">
        <v>45827</v>
      </c>
      <c r="G84" s="91">
        <v>930</v>
      </c>
      <c r="H84" s="91">
        <v>930</v>
      </c>
      <c r="I84" s="93">
        <v>914</v>
      </c>
      <c r="J84" s="93">
        <v>0</v>
      </c>
      <c r="K84" s="94">
        <f t="shared" ref="K79:K104" si="5">I84-J84</f>
        <v>914</v>
      </c>
    </row>
    <row r="85" s="54" customFormat="1" ht="14" customHeight="1" spans="1:44">
      <c r="A85" s="84" t="s">
        <v>228</v>
      </c>
      <c r="B85" s="85" t="s">
        <v>229</v>
      </c>
      <c r="C85" s="85" t="s">
        <v>230</v>
      </c>
      <c r="D85" s="80"/>
      <c r="E85" s="80"/>
      <c r="F85" s="81"/>
      <c r="G85" s="80"/>
      <c r="H85" s="80"/>
      <c r="I85" s="86">
        <v>0</v>
      </c>
      <c r="J85" s="86">
        <v>0</v>
      </c>
      <c r="K85" s="83">
        <f t="shared" si="5"/>
        <v>0</v>
      </c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  <c r="AK85" s="55"/>
      <c r="AL85" s="55"/>
      <c r="AM85" s="55"/>
      <c r="AN85" s="55"/>
      <c r="AO85" s="55"/>
      <c r="AP85" s="55"/>
      <c r="AQ85" s="55"/>
      <c r="AR85" s="55"/>
    </row>
    <row r="86" ht="14.25" spans="1:44">
      <c r="A86" s="77" t="s">
        <v>231</v>
      </c>
      <c r="B86" s="78" t="s">
        <v>232</v>
      </c>
      <c r="C86" s="78" t="s">
        <v>233</v>
      </c>
      <c r="D86" s="102"/>
      <c r="E86" s="80"/>
      <c r="F86" s="81"/>
      <c r="G86" s="80"/>
      <c r="H86" s="80"/>
      <c r="I86" s="82">
        <v>0</v>
      </c>
      <c r="J86" s="82">
        <v>0</v>
      </c>
      <c r="K86" s="83">
        <f t="shared" si="5"/>
        <v>0</v>
      </c>
    </row>
    <row r="87" ht="13" customHeight="1" spans="1:44">
      <c r="A87" s="88" t="s">
        <v>234</v>
      </c>
      <c r="B87" s="89" t="s">
        <v>235</v>
      </c>
      <c r="C87" s="89" t="s">
        <v>236</v>
      </c>
      <c r="D87" s="90" t="s">
        <v>26</v>
      </c>
      <c r="E87" s="91" t="s">
        <v>237</v>
      </c>
      <c r="F87" s="92">
        <v>45569</v>
      </c>
      <c r="G87" s="91"/>
      <c r="H87" s="91"/>
      <c r="I87" s="93">
        <v>2157</v>
      </c>
      <c r="J87" s="93">
        <v>18</v>
      </c>
      <c r="K87" s="94">
        <f t="shared" si="5"/>
        <v>2139</v>
      </c>
    </row>
    <row r="88" s="54" customFormat="1" ht="14.25" spans="1:44">
      <c r="A88" s="84" t="s">
        <v>238</v>
      </c>
      <c r="B88" s="85" t="s">
        <v>239</v>
      </c>
      <c r="C88" s="85" t="s">
        <v>240</v>
      </c>
      <c r="D88" s="80"/>
      <c r="E88" s="80"/>
      <c r="F88" s="80"/>
      <c r="G88" s="80"/>
      <c r="H88" s="80"/>
      <c r="I88" s="86">
        <v>0</v>
      </c>
      <c r="J88" s="86">
        <v>0</v>
      </c>
      <c r="K88" s="83">
        <f t="shared" si="5"/>
        <v>0</v>
      </c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  <c r="AK88" s="55"/>
      <c r="AL88" s="55"/>
      <c r="AM88" s="55"/>
      <c r="AN88" s="55"/>
      <c r="AO88" s="55"/>
      <c r="AP88" s="55"/>
      <c r="AQ88" s="55"/>
      <c r="AR88" s="55"/>
    </row>
    <row r="89" customHeight="1" spans="1:44">
      <c r="A89" s="77" t="s">
        <v>241</v>
      </c>
      <c r="B89" s="78" t="s">
        <v>242</v>
      </c>
      <c r="C89" s="78" t="s">
        <v>243</v>
      </c>
      <c r="D89" s="102"/>
      <c r="E89" s="80"/>
      <c r="F89" s="81"/>
      <c r="G89" s="80"/>
      <c r="H89" s="80"/>
      <c r="I89" s="82">
        <v>0</v>
      </c>
      <c r="J89" s="82">
        <v>0</v>
      </c>
      <c r="K89" s="83">
        <f t="shared" si="5"/>
        <v>0</v>
      </c>
    </row>
    <row r="90" s="54" customFormat="1" ht="25.5" spans="1:44">
      <c r="A90" s="84" t="s">
        <v>244</v>
      </c>
      <c r="B90" s="85" t="s">
        <v>245</v>
      </c>
      <c r="C90" s="85" t="s">
        <v>246</v>
      </c>
      <c r="D90" s="80"/>
      <c r="E90" s="80"/>
      <c r="F90" s="80"/>
      <c r="G90" s="80"/>
      <c r="H90" s="80"/>
      <c r="I90" s="86">
        <v>0</v>
      </c>
      <c r="J90" s="86">
        <v>0</v>
      </c>
      <c r="K90" s="83">
        <f t="shared" si="5"/>
        <v>0</v>
      </c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  <c r="AK90" s="55"/>
      <c r="AL90" s="55"/>
      <c r="AM90" s="55"/>
      <c r="AN90" s="55"/>
      <c r="AO90" s="55"/>
      <c r="AP90" s="55"/>
      <c r="AQ90" s="55"/>
      <c r="AR90" s="55"/>
    </row>
    <row r="91" ht="13" customHeight="1" spans="1:44">
      <c r="A91" s="77" t="s">
        <v>247</v>
      </c>
      <c r="B91" s="78" t="s">
        <v>248</v>
      </c>
      <c r="C91" s="78"/>
      <c r="D91" s="95"/>
      <c r="E91" s="80"/>
      <c r="F91" s="81"/>
      <c r="G91" s="80"/>
      <c r="H91" s="80"/>
      <c r="I91" s="82">
        <v>0</v>
      </c>
      <c r="J91" s="82">
        <v>0</v>
      </c>
      <c r="K91" s="87">
        <f t="shared" si="5"/>
        <v>0</v>
      </c>
    </row>
    <row r="92" customHeight="1" spans="1:44">
      <c r="A92" s="84" t="s">
        <v>249</v>
      </c>
      <c r="B92" s="85" t="s">
        <v>250</v>
      </c>
      <c r="C92" s="85" t="s">
        <v>251</v>
      </c>
      <c r="D92" s="80"/>
      <c r="E92" s="80"/>
      <c r="F92" s="80"/>
      <c r="G92" s="80"/>
      <c r="H92" s="80"/>
      <c r="I92" s="86">
        <v>0</v>
      </c>
      <c r="J92" s="86">
        <v>0</v>
      </c>
      <c r="K92" s="87">
        <f t="shared" si="5"/>
        <v>0</v>
      </c>
    </row>
    <row r="93" ht="14.25" spans="1:44">
      <c r="A93" s="84" t="s">
        <v>252</v>
      </c>
      <c r="B93" s="85" t="s">
        <v>253</v>
      </c>
      <c r="C93" s="85" t="s">
        <v>254</v>
      </c>
      <c r="D93" s="79"/>
      <c r="E93" s="111"/>
      <c r="F93" s="112"/>
      <c r="G93" s="111"/>
      <c r="H93" s="111"/>
      <c r="I93" s="86">
        <v>0</v>
      </c>
      <c r="J93" s="86">
        <v>0</v>
      </c>
      <c r="K93" s="83">
        <f t="shared" si="5"/>
        <v>0</v>
      </c>
    </row>
    <row r="94" s="54" customFormat="1" customHeight="1" spans="1:44">
      <c r="A94" s="84" t="s">
        <v>255</v>
      </c>
      <c r="B94" s="85" t="s">
        <v>256</v>
      </c>
      <c r="C94" s="78"/>
      <c r="D94" s="80"/>
      <c r="E94" s="80"/>
      <c r="F94" s="80"/>
      <c r="G94" s="80"/>
      <c r="H94" s="80"/>
      <c r="I94" s="86">
        <v>0</v>
      </c>
      <c r="J94" s="86">
        <v>0</v>
      </c>
      <c r="K94" s="83">
        <f t="shared" si="5"/>
        <v>0</v>
      </c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55"/>
      <c r="AH94" s="55"/>
      <c r="AI94" s="55"/>
      <c r="AJ94" s="55"/>
      <c r="AK94" s="55"/>
      <c r="AL94" s="55"/>
      <c r="AM94" s="55"/>
      <c r="AN94" s="55"/>
      <c r="AO94" s="55"/>
      <c r="AP94" s="55"/>
      <c r="AQ94" s="55"/>
      <c r="AR94" s="55"/>
    </row>
    <row r="95" ht="14.25" spans="1:44">
      <c r="A95" s="84" t="s">
        <v>257</v>
      </c>
      <c r="B95" s="85" t="s">
        <v>258</v>
      </c>
      <c r="C95" s="78"/>
      <c r="D95" s="80"/>
      <c r="E95" s="80"/>
      <c r="F95" s="80"/>
      <c r="G95" s="80"/>
      <c r="H95" s="80"/>
      <c r="I95" s="86">
        <v>0</v>
      </c>
      <c r="J95" s="86">
        <v>0</v>
      </c>
      <c r="K95" s="87">
        <f t="shared" si="5"/>
        <v>0</v>
      </c>
    </row>
    <row r="96" ht="14.25" spans="1:44">
      <c r="A96" s="96" t="s">
        <v>259</v>
      </c>
      <c r="B96" s="97" t="s">
        <v>260</v>
      </c>
      <c r="C96" s="97" t="s">
        <v>261</v>
      </c>
      <c r="D96" s="98" t="s">
        <v>262</v>
      </c>
      <c r="E96" s="98" t="s">
        <v>263</v>
      </c>
      <c r="F96" s="125">
        <v>45968</v>
      </c>
      <c r="G96" s="98">
        <v>200</v>
      </c>
      <c r="H96" s="98">
        <v>200</v>
      </c>
      <c r="I96" s="100">
        <v>199</v>
      </c>
      <c r="J96" s="100">
        <v>0</v>
      </c>
      <c r="K96" s="101">
        <f t="shared" si="5"/>
        <v>199</v>
      </c>
    </row>
    <row r="97" ht="14.25" spans="1:44">
      <c r="A97" s="77" t="s">
        <v>264</v>
      </c>
      <c r="B97" s="78" t="s">
        <v>265</v>
      </c>
      <c r="C97" s="78" t="s">
        <v>266</v>
      </c>
      <c r="D97" s="102"/>
      <c r="E97" s="80"/>
      <c r="F97" s="81"/>
      <c r="G97" s="80"/>
      <c r="H97" s="80"/>
      <c r="I97" s="82">
        <v>0</v>
      </c>
      <c r="J97" s="82">
        <v>0</v>
      </c>
      <c r="K97" s="83">
        <f t="shared" si="5"/>
        <v>0</v>
      </c>
    </row>
    <row r="98" ht="13" customHeight="1" spans="1:44">
      <c r="A98" s="96" t="s">
        <v>267</v>
      </c>
      <c r="B98" s="97" t="s">
        <v>268</v>
      </c>
      <c r="C98" s="97" t="s">
        <v>269</v>
      </c>
      <c r="D98" s="98" t="s">
        <v>270</v>
      </c>
      <c r="E98" s="98" t="s">
        <v>271</v>
      </c>
      <c r="F98" s="99">
        <v>45827</v>
      </c>
      <c r="G98" s="98">
        <v>10000</v>
      </c>
      <c r="H98" s="98">
        <v>10000</v>
      </c>
      <c r="I98" s="100">
        <v>9970</v>
      </c>
      <c r="J98" s="100">
        <v>0</v>
      </c>
      <c r="K98" s="101">
        <f t="shared" si="5"/>
        <v>9970</v>
      </c>
    </row>
    <row r="99" ht="14.25" spans="1:44">
      <c r="A99" s="96" t="s">
        <v>272</v>
      </c>
      <c r="B99" s="97" t="s">
        <v>56</v>
      </c>
      <c r="C99" s="97" t="s">
        <v>273</v>
      </c>
      <c r="D99" s="110">
        <v>46813</v>
      </c>
      <c r="E99" s="98" t="s">
        <v>274</v>
      </c>
      <c r="F99" s="99">
        <v>45827</v>
      </c>
      <c r="G99" s="98">
        <v>500</v>
      </c>
      <c r="H99" s="98">
        <v>500</v>
      </c>
      <c r="I99" s="100">
        <v>500</v>
      </c>
      <c r="J99" s="100">
        <v>0</v>
      </c>
      <c r="K99" s="101">
        <f t="shared" si="5"/>
        <v>500</v>
      </c>
    </row>
    <row r="100" ht="14.25" spans="1:44">
      <c r="A100" s="77" t="s">
        <v>272</v>
      </c>
      <c r="B100" s="78" t="s">
        <v>275</v>
      </c>
      <c r="C100" s="78" t="s">
        <v>276</v>
      </c>
      <c r="D100" s="80"/>
      <c r="E100" s="80"/>
      <c r="F100" s="81"/>
      <c r="G100" s="80"/>
      <c r="H100" s="80"/>
      <c r="I100" s="82">
        <v>0</v>
      </c>
      <c r="J100" s="82">
        <v>0</v>
      </c>
      <c r="K100" s="83">
        <f t="shared" si="5"/>
        <v>0</v>
      </c>
    </row>
    <row r="101" s="54" customFormat="1" ht="14.25" spans="1:44">
      <c r="A101" s="84" t="s">
        <v>277</v>
      </c>
      <c r="B101" s="85" t="s">
        <v>278</v>
      </c>
      <c r="C101" s="85" t="s">
        <v>279</v>
      </c>
      <c r="D101" s="80"/>
      <c r="E101" s="80"/>
      <c r="F101" s="80"/>
      <c r="G101" s="80"/>
      <c r="H101" s="80"/>
      <c r="I101" s="86">
        <v>0</v>
      </c>
      <c r="J101" s="86">
        <v>0</v>
      </c>
      <c r="K101" s="83">
        <f t="shared" si="5"/>
        <v>0</v>
      </c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  <c r="AE101" s="55"/>
      <c r="AF101" s="55"/>
      <c r="AG101" s="55"/>
      <c r="AH101" s="55"/>
      <c r="AI101" s="55"/>
      <c r="AJ101" s="55"/>
      <c r="AK101" s="55"/>
      <c r="AL101" s="55"/>
      <c r="AM101" s="55"/>
      <c r="AN101" s="55"/>
      <c r="AO101" s="55"/>
      <c r="AP101" s="55"/>
      <c r="AQ101" s="55"/>
      <c r="AR101" s="55"/>
    </row>
    <row r="102" customHeight="1" spans="1:44">
      <c r="A102" s="84" t="s">
        <v>280</v>
      </c>
      <c r="B102" s="85" t="s">
        <v>281</v>
      </c>
      <c r="C102" s="85" t="s">
        <v>282</v>
      </c>
      <c r="D102" s="80"/>
      <c r="E102" s="80"/>
      <c r="F102" s="80"/>
      <c r="G102" s="80"/>
      <c r="H102" s="80"/>
      <c r="I102" s="86">
        <v>0</v>
      </c>
      <c r="J102" s="86">
        <v>0</v>
      </c>
      <c r="K102" s="87">
        <f t="shared" si="5"/>
        <v>0</v>
      </c>
    </row>
    <row r="103" ht="14.25" spans="1:44">
      <c r="A103" s="96" t="s">
        <v>283</v>
      </c>
      <c r="B103" s="97" t="s">
        <v>284</v>
      </c>
      <c r="C103" s="97"/>
      <c r="D103" s="98" t="s">
        <v>285</v>
      </c>
      <c r="E103" s="98" t="s">
        <v>286</v>
      </c>
      <c r="F103" s="99">
        <v>45827</v>
      </c>
      <c r="G103" s="98">
        <v>200</v>
      </c>
      <c r="H103" s="98">
        <v>200</v>
      </c>
      <c r="I103" s="100">
        <v>183</v>
      </c>
      <c r="J103" s="100">
        <v>0</v>
      </c>
      <c r="K103" s="101">
        <f t="shared" si="5"/>
        <v>183</v>
      </c>
    </row>
    <row r="104" spans="1:44">
      <c r="A104" s="96" t="s">
        <v>280</v>
      </c>
      <c r="B104" s="97" t="s">
        <v>287</v>
      </c>
      <c r="C104" s="97" t="s">
        <v>288</v>
      </c>
      <c r="D104" s="98" t="s">
        <v>154</v>
      </c>
      <c r="E104" s="98">
        <v>37100224</v>
      </c>
      <c r="F104" s="99">
        <v>45526</v>
      </c>
      <c r="G104" s="98">
        <v>2400</v>
      </c>
      <c r="H104" s="98">
        <v>3500</v>
      </c>
      <c r="I104" s="100">
        <v>2008</v>
      </c>
      <c r="J104" s="100">
        <v>41</v>
      </c>
      <c r="K104" s="101">
        <f t="shared" si="5"/>
        <v>1967</v>
      </c>
    </row>
    <row r="105" ht="11" customHeight="1" spans="1:44">
      <c r="A105" s="96"/>
      <c r="B105" s="97"/>
      <c r="C105" s="97"/>
      <c r="D105" s="98"/>
      <c r="E105" s="98"/>
      <c r="F105" s="99">
        <v>45553</v>
      </c>
      <c r="G105" s="98">
        <v>1000</v>
      </c>
      <c r="H105" s="98"/>
      <c r="I105" s="100"/>
      <c r="J105" s="100"/>
      <c r="K105" s="101"/>
    </row>
    <row r="106" s="54" customFormat="1" customHeight="1" spans="1:44">
      <c r="A106" s="84" t="s">
        <v>289</v>
      </c>
      <c r="B106" s="85" t="s">
        <v>290</v>
      </c>
      <c r="C106" s="78"/>
      <c r="D106" s="80"/>
      <c r="E106" s="80"/>
      <c r="F106" s="80"/>
      <c r="G106" s="80"/>
      <c r="H106" s="80"/>
      <c r="I106" s="86">
        <v>0</v>
      </c>
      <c r="J106" s="86">
        <v>0</v>
      </c>
      <c r="K106" s="83">
        <f>I106-J106</f>
        <v>0</v>
      </c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  <c r="AE106" s="55"/>
      <c r="AF106" s="55"/>
      <c r="AG106" s="55"/>
      <c r="AH106" s="55"/>
      <c r="AI106" s="55"/>
      <c r="AJ106" s="55"/>
      <c r="AK106" s="55"/>
      <c r="AL106" s="55"/>
      <c r="AM106" s="55"/>
      <c r="AN106" s="55"/>
      <c r="AO106" s="55"/>
      <c r="AP106" s="55"/>
      <c r="AQ106" s="55"/>
      <c r="AR106" s="55"/>
    </row>
    <row r="107" ht="14.25" spans="1:44">
      <c r="A107" s="126" t="s">
        <v>291</v>
      </c>
      <c r="B107" s="127" t="s">
        <v>292</v>
      </c>
      <c r="C107" s="78"/>
      <c r="D107" s="102"/>
      <c r="E107" s="80"/>
      <c r="F107" s="81"/>
      <c r="G107" s="80"/>
      <c r="H107" s="80"/>
      <c r="I107" s="82">
        <v>0</v>
      </c>
      <c r="J107" s="82">
        <v>0</v>
      </c>
      <c r="K107" s="87">
        <f>I107-J107</f>
        <v>0</v>
      </c>
    </row>
    <row r="108" ht="27" customHeight="1" spans="1:44">
      <c r="A108" s="77" t="s">
        <v>293</v>
      </c>
      <c r="B108" s="78" t="s">
        <v>294</v>
      </c>
      <c r="C108" s="78" t="s">
        <v>295</v>
      </c>
      <c r="D108" s="102"/>
      <c r="E108" s="80"/>
      <c r="F108" s="81"/>
      <c r="G108" s="80"/>
      <c r="H108" s="80"/>
      <c r="I108" s="82">
        <v>0</v>
      </c>
      <c r="J108" s="82">
        <v>0</v>
      </c>
      <c r="K108" s="83">
        <f t="shared" ref="K108:K116" si="6">I108-J108</f>
        <v>0</v>
      </c>
    </row>
    <row r="109" ht="14.25" spans="1:44">
      <c r="A109" s="77" t="s">
        <v>296</v>
      </c>
      <c r="B109" s="78" t="s">
        <v>297</v>
      </c>
      <c r="C109" s="78" t="s">
        <v>298</v>
      </c>
      <c r="D109" s="80"/>
      <c r="E109" s="80"/>
      <c r="F109" s="81"/>
      <c r="G109" s="80"/>
      <c r="H109" s="80"/>
      <c r="I109" s="82">
        <v>0</v>
      </c>
      <c r="J109" s="82">
        <v>0</v>
      </c>
      <c r="K109" s="83">
        <f t="shared" si="6"/>
        <v>0</v>
      </c>
    </row>
    <row r="110" ht="19" customHeight="1" spans="1:44">
      <c r="A110" s="77" t="s">
        <v>299</v>
      </c>
      <c r="B110" s="78" t="s">
        <v>300</v>
      </c>
      <c r="C110" s="78"/>
      <c r="D110" s="80"/>
      <c r="E110" s="80"/>
      <c r="F110" s="81"/>
      <c r="G110" s="80"/>
      <c r="H110" s="80"/>
      <c r="I110" s="82">
        <v>0</v>
      </c>
      <c r="J110" s="82">
        <v>0</v>
      </c>
      <c r="K110" s="83">
        <f t="shared" si="6"/>
        <v>0</v>
      </c>
    </row>
    <row r="111" spans="1:44">
      <c r="A111" s="96" t="s">
        <v>301</v>
      </c>
      <c r="B111" s="97" t="s">
        <v>302</v>
      </c>
      <c r="C111" s="97" t="s">
        <v>303</v>
      </c>
      <c r="D111" s="98" t="s">
        <v>304</v>
      </c>
      <c r="E111" s="98" t="s">
        <v>305</v>
      </c>
      <c r="F111" s="99">
        <v>45827</v>
      </c>
      <c r="G111" s="98">
        <v>2000</v>
      </c>
      <c r="H111" s="98">
        <v>2000</v>
      </c>
      <c r="I111" s="100">
        <v>1930</v>
      </c>
      <c r="J111" s="100">
        <v>15</v>
      </c>
      <c r="K111" s="101">
        <f t="shared" si="6"/>
        <v>1915</v>
      </c>
    </row>
    <row r="112" ht="18" customHeight="1" spans="1:44">
      <c r="A112" s="84" t="s">
        <v>299</v>
      </c>
      <c r="B112" s="85" t="s">
        <v>306</v>
      </c>
      <c r="C112" s="85" t="s">
        <v>307</v>
      </c>
      <c r="D112" s="80"/>
      <c r="E112" s="80"/>
      <c r="F112" s="80"/>
      <c r="G112" s="80"/>
      <c r="H112" s="80"/>
      <c r="I112" s="86">
        <v>0</v>
      </c>
      <c r="J112" s="86">
        <v>0</v>
      </c>
      <c r="K112" s="87">
        <f t="shared" si="6"/>
        <v>0</v>
      </c>
    </row>
    <row r="113" ht="14.25" spans="1:44">
      <c r="A113" s="84" t="s">
        <v>308</v>
      </c>
      <c r="B113" s="85" t="s">
        <v>309</v>
      </c>
      <c r="C113" s="85" t="s">
        <v>310</v>
      </c>
      <c r="D113" s="80"/>
      <c r="E113" s="80"/>
      <c r="F113" s="80"/>
      <c r="G113" s="80"/>
      <c r="H113" s="80"/>
      <c r="I113" s="86">
        <v>0</v>
      </c>
      <c r="J113" s="86">
        <v>0</v>
      </c>
      <c r="K113" s="87">
        <f t="shared" si="6"/>
        <v>0</v>
      </c>
    </row>
    <row r="114" ht="14" customHeight="1" spans="1:44">
      <c r="A114" s="84" t="s">
        <v>311</v>
      </c>
      <c r="B114" s="85" t="s">
        <v>312</v>
      </c>
      <c r="C114" s="85" t="s">
        <v>313</v>
      </c>
      <c r="D114" s="80"/>
      <c r="E114" s="80"/>
      <c r="F114" s="80"/>
      <c r="G114" s="80"/>
      <c r="H114" s="80"/>
      <c r="I114" s="86">
        <v>0</v>
      </c>
      <c r="J114" s="86">
        <v>0</v>
      </c>
      <c r="K114" s="87">
        <f t="shared" si="6"/>
        <v>0</v>
      </c>
    </row>
    <row r="115" ht="14.25" spans="1:44">
      <c r="A115" s="77" t="s">
        <v>314</v>
      </c>
      <c r="B115" s="78" t="s">
        <v>315</v>
      </c>
      <c r="C115" s="78" t="s">
        <v>316</v>
      </c>
      <c r="D115" s="79"/>
      <c r="E115" s="80"/>
      <c r="F115" s="81"/>
      <c r="G115" s="80"/>
      <c r="H115" s="80"/>
      <c r="I115" s="82">
        <v>0</v>
      </c>
      <c r="J115" s="82">
        <v>0</v>
      </c>
      <c r="K115" s="83">
        <f t="shared" si="6"/>
        <v>0</v>
      </c>
    </row>
    <row r="116" ht="17" customHeight="1" spans="1:44">
      <c r="A116" s="77" t="s">
        <v>317</v>
      </c>
      <c r="B116" s="78" t="s">
        <v>318</v>
      </c>
      <c r="C116" s="78" t="s">
        <v>319</v>
      </c>
      <c r="D116" s="128"/>
      <c r="E116" s="80"/>
      <c r="F116" s="81"/>
      <c r="G116" s="80"/>
      <c r="H116" s="80"/>
      <c r="I116" s="82">
        <v>0</v>
      </c>
      <c r="J116" s="82">
        <v>0</v>
      </c>
      <c r="K116" s="87">
        <f t="shared" si="6"/>
        <v>0</v>
      </c>
    </row>
    <row r="117" ht="16.5" customHeight="1" spans="1:44">
      <c r="A117" s="84" t="s">
        <v>320</v>
      </c>
      <c r="B117" s="85" t="s">
        <v>321</v>
      </c>
      <c r="C117" s="85" t="s">
        <v>322</v>
      </c>
      <c r="D117" s="129"/>
      <c r="E117" s="111"/>
      <c r="F117" s="112"/>
      <c r="G117" s="111"/>
      <c r="H117" s="111"/>
      <c r="I117" s="86">
        <v>0</v>
      </c>
      <c r="J117" s="86">
        <v>0</v>
      </c>
      <c r="K117" s="87">
        <f>I117-L117</f>
        <v>0</v>
      </c>
    </row>
    <row r="118" s="54" customFormat="1" ht="14.25" spans="1:44">
      <c r="A118" s="84" t="s">
        <v>320</v>
      </c>
      <c r="B118" s="85" t="s">
        <v>323</v>
      </c>
      <c r="C118" s="85" t="s">
        <v>324</v>
      </c>
      <c r="D118" s="80"/>
      <c r="E118" s="80"/>
      <c r="F118" s="80"/>
      <c r="G118" s="80"/>
      <c r="H118" s="80"/>
      <c r="I118" s="86">
        <v>0</v>
      </c>
      <c r="J118" s="86">
        <v>0</v>
      </c>
      <c r="K118" s="83">
        <f>I118-J118</f>
        <v>0</v>
      </c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  <c r="AB118" s="55"/>
      <c r="AC118" s="55"/>
      <c r="AD118" s="55"/>
      <c r="AE118" s="55"/>
      <c r="AF118" s="55"/>
      <c r="AG118" s="55"/>
      <c r="AH118" s="55"/>
      <c r="AI118" s="55"/>
      <c r="AJ118" s="55"/>
      <c r="AK118" s="55"/>
      <c r="AL118" s="55"/>
      <c r="AM118" s="55"/>
      <c r="AN118" s="55"/>
      <c r="AO118" s="55"/>
      <c r="AP118" s="55"/>
      <c r="AQ118" s="55"/>
      <c r="AR118" s="55"/>
    </row>
    <row r="119" spans="1:44">
      <c r="A119" s="96" t="s">
        <v>320</v>
      </c>
      <c r="B119" s="97" t="s">
        <v>325</v>
      </c>
      <c r="C119" s="97" t="s">
        <v>326</v>
      </c>
      <c r="D119" s="110">
        <v>46569</v>
      </c>
      <c r="E119" s="98" t="s">
        <v>327</v>
      </c>
      <c r="F119" s="99">
        <v>45827</v>
      </c>
      <c r="G119" s="98">
        <v>1000</v>
      </c>
      <c r="H119" s="98">
        <v>1100</v>
      </c>
      <c r="I119" s="100">
        <v>601</v>
      </c>
      <c r="J119" s="100">
        <v>55</v>
      </c>
      <c r="K119" s="101">
        <f>I119-J119</f>
        <v>546</v>
      </c>
    </row>
    <row r="120" ht="14.25" spans="1:44">
      <c r="A120" s="96"/>
      <c r="B120" s="97"/>
      <c r="C120" s="97"/>
      <c r="D120" s="110">
        <v>46813</v>
      </c>
      <c r="E120" s="98" t="s">
        <v>328</v>
      </c>
      <c r="F120" s="99">
        <v>45876</v>
      </c>
      <c r="G120" s="98">
        <v>100</v>
      </c>
      <c r="H120" s="98"/>
      <c r="I120" s="100"/>
      <c r="J120" s="100"/>
      <c r="K120" s="101"/>
    </row>
    <row r="121" ht="14.25" spans="1:44">
      <c r="A121" s="77" t="s">
        <v>320</v>
      </c>
      <c r="B121" s="78" t="s">
        <v>329</v>
      </c>
      <c r="C121" s="78" t="s">
        <v>330</v>
      </c>
      <c r="D121" s="102"/>
      <c r="E121" s="80"/>
      <c r="F121" s="81"/>
      <c r="G121" s="80"/>
      <c r="H121" s="80"/>
      <c r="I121" s="82">
        <v>0</v>
      </c>
      <c r="J121" s="82">
        <v>0</v>
      </c>
      <c r="K121" s="83">
        <f t="shared" ref="K121:K135" si="7">I121-J121</f>
        <v>0</v>
      </c>
    </row>
    <row r="122" s="54" customFormat="1" customHeight="1" spans="1:44">
      <c r="A122" s="84" t="s">
        <v>331</v>
      </c>
      <c r="B122" s="85" t="s">
        <v>332</v>
      </c>
      <c r="C122" s="85" t="s">
        <v>333</v>
      </c>
      <c r="D122" s="95"/>
      <c r="E122" s="80"/>
      <c r="F122" s="81"/>
      <c r="G122" s="80"/>
      <c r="H122" s="80"/>
      <c r="I122" s="86">
        <v>0</v>
      </c>
      <c r="J122" s="86">
        <v>0</v>
      </c>
      <c r="K122" s="83">
        <f t="shared" si="7"/>
        <v>0</v>
      </c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  <c r="AC122" s="55"/>
      <c r="AD122" s="55"/>
      <c r="AE122" s="55"/>
      <c r="AF122" s="55"/>
      <c r="AG122" s="55"/>
      <c r="AH122" s="55"/>
      <c r="AI122" s="55"/>
      <c r="AJ122" s="55"/>
      <c r="AK122" s="55"/>
      <c r="AL122" s="55"/>
      <c r="AM122" s="55"/>
      <c r="AN122" s="55"/>
      <c r="AO122" s="55"/>
      <c r="AP122" s="55"/>
      <c r="AQ122" s="55"/>
      <c r="AR122" s="55"/>
    </row>
    <row r="123" ht="14.25" spans="1:44">
      <c r="A123" s="77" t="s">
        <v>334</v>
      </c>
      <c r="B123" s="78" t="s">
        <v>335</v>
      </c>
      <c r="C123" s="78" t="s">
        <v>336</v>
      </c>
      <c r="D123" s="95"/>
      <c r="E123" s="80"/>
      <c r="F123" s="81"/>
      <c r="G123" s="80"/>
      <c r="H123" s="80"/>
      <c r="I123" s="82">
        <v>0</v>
      </c>
      <c r="J123" s="82">
        <v>0</v>
      </c>
      <c r="K123" s="83">
        <f t="shared" si="7"/>
        <v>0</v>
      </c>
    </row>
    <row r="124" ht="14.25" spans="1:44">
      <c r="A124" s="77" t="s">
        <v>337</v>
      </c>
      <c r="B124" s="78" t="s">
        <v>338</v>
      </c>
      <c r="C124" s="78" t="s">
        <v>339</v>
      </c>
      <c r="D124" s="79"/>
      <c r="E124" s="80"/>
      <c r="F124" s="81"/>
      <c r="G124" s="80"/>
      <c r="H124" s="80"/>
      <c r="I124" s="82">
        <v>0</v>
      </c>
      <c r="J124" s="82">
        <v>0</v>
      </c>
      <c r="K124" s="83">
        <f t="shared" si="7"/>
        <v>0</v>
      </c>
    </row>
    <row r="125" ht="14.25" spans="1:44">
      <c r="A125" s="88" t="s">
        <v>337</v>
      </c>
      <c r="B125" s="89" t="s">
        <v>340</v>
      </c>
      <c r="C125" s="89" t="s">
        <v>339</v>
      </c>
      <c r="D125" s="90" t="s">
        <v>26</v>
      </c>
      <c r="E125" s="91" t="s">
        <v>341</v>
      </c>
      <c r="F125" s="92">
        <v>45705</v>
      </c>
      <c r="G125" s="91">
        <v>100</v>
      </c>
      <c r="H125" s="91">
        <v>100</v>
      </c>
      <c r="I125" s="93">
        <v>100</v>
      </c>
      <c r="J125" s="93">
        <v>0</v>
      </c>
      <c r="K125" s="94">
        <f t="shared" si="7"/>
        <v>100</v>
      </c>
    </row>
    <row r="126" ht="14.25" spans="1:44">
      <c r="A126" s="77" t="s">
        <v>337</v>
      </c>
      <c r="B126" s="78" t="s">
        <v>213</v>
      </c>
      <c r="C126" s="78" t="s">
        <v>339</v>
      </c>
      <c r="D126" s="80"/>
      <c r="E126" s="80"/>
      <c r="F126" s="81"/>
      <c r="G126" s="80"/>
      <c r="H126" s="80"/>
      <c r="I126" s="82">
        <v>0</v>
      </c>
      <c r="J126" s="82">
        <v>0</v>
      </c>
      <c r="K126" s="83">
        <f t="shared" si="7"/>
        <v>0</v>
      </c>
    </row>
    <row r="127" ht="14.25" spans="1:44">
      <c r="A127" s="77" t="s">
        <v>342</v>
      </c>
      <c r="B127" s="78" t="s">
        <v>343</v>
      </c>
      <c r="C127" s="78" t="s">
        <v>344</v>
      </c>
      <c r="D127" s="80"/>
      <c r="E127" s="80"/>
      <c r="F127" s="81"/>
      <c r="G127" s="80"/>
      <c r="H127" s="80"/>
      <c r="I127" s="82">
        <v>0</v>
      </c>
      <c r="J127" s="82">
        <v>0</v>
      </c>
      <c r="K127" s="87">
        <f t="shared" si="7"/>
        <v>0</v>
      </c>
    </row>
    <row r="128" ht="14.25" spans="1:44">
      <c r="A128" s="77" t="s">
        <v>342</v>
      </c>
      <c r="B128" s="78" t="s">
        <v>345</v>
      </c>
      <c r="C128" s="78" t="s">
        <v>346</v>
      </c>
      <c r="D128" s="95">
        <v>46844</v>
      </c>
      <c r="E128" s="80">
        <v>250416</v>
      </c>
      <c r="F128" s="81">
        <v>45968</v>
      </c>
      <c r="G128" s="80">
        <v>1000</v>
      </c>
      <c r="H128" s="80">
        <v>1000</v>
      </c>
      <c r="I128" s="82">
        <v>65</v>
      </c>
      <c r="J128" s="82">
        <v>65</v>
      </c>
      <c r="K128" s="87">
        <f t="shared" si="7"/>
        <v>0</v>
      </c>
    </row>
    <row r="129" ht="16" customHeight="1" spans="1:44">
      <c r="A129" s="130" t="s">
        <v>347</v>
      </c>
      <c r="B129" s="131" t="s">
        <v>348</v>
      </c>
      <c r="C129" s="131" t="s">
        <v>349</v>
      </c>
      <c r="D129" s="132" t="s">
        <v>270</v>
      </c>
      <c r="E129" s="133">
        <v>2407101901</v>
      </c>
      <c r="F129" s="107">
        <v>46224</v>
      </c>
      <c r="G129" s="106">
        <v>120</v>
      </c>
      <c r="H129" s="106">
        <v>120</v>
      </c>
      <c r="I129" s="108">
        <v>55</v>
      </c>
      <c r="J129" s="108">
        <v>15</v>
      </c>
      <c r="K129" s="118">
        <f t="shared" si="7"/>
        <v>40</v>
      </c>
    </row>
    <row r="130" s="54" customFormat="1" ht="14.25" spans="1:44">
      <c r="A130" s="134"/>
      <c r="B130" s="135"/>
      <c r="C130" s="135"/>
      <c r="D130" s="136"/>
      <c r="E130" s="137"/>
      <c r="F130" s="107">
        <v>46279</v>
      </c>
      <c r="G130" s="106">
        <v>9</v>
      </c>
      <c r="H130" s="106">
        <v>9</v>
      </c>
      <c r="I130" s="122">
        <v>9</v>
      </c>
      <c r="J130" s="122">
        <v>0</v>
      </c>
      <c r="K130" s="109">
        <v>9</v>
      </c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  <c r="AB130" s="55"/>
      <c r="AC130" s="55"/>
      <c r="AD130" s="55"/>
      <c r="AE130" s="55"/>
      <c r="AF130" s="55"/>
      <c r="AG130" s="55"/>
      <c r="AH130" s="55"/>
      <c r="AI130" s="55"/>
      <c r="AJ130" s="55"/>
      <c r="AK130" s="55"/>
      <c r="AL130" s="55"/>
      <c r="AM130" s="55"/>
      <c r="AN130" s="55"/>
      <c r="AO130" s="55"/>
      <c r="AP130" s="55"/>
      <c r="AQ130" s="55"/>
      <c r="AR130" s="55"/>
    </row>
    <row r="131" s="54" customFormat="1" ht="14.25" spans="1:44">
      <c r="A131" s="84" t="s">
        <v>350</v>
      </c>
      <c r="B131" s="85" t="s">
        <v>351</v>
      </c>
      <c r="C131" s="85" t="s">
        <v>120</v>
      </c>
      <c r="D131" s="80"/>
      <c r="E131" s="80"/>
      <c r="F131" s="80"/>
      <c r="G131" s="80"/>
      <c r="H131" s="80"/>
      <c r="I131" s="86">
        <v>0</v>
      </c>
      <c r="J131" s="86">
        <v>0</v>
      </c>
      <c r="K131" s="83">
        <f>I131-J131</f>
        <v>0</v>
      </c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  <c r="AA131" s="55"/>
      <c r="AB131" s="55"/>
      <c r="AC131" s="55"/>
      <c r="AD131" s="55"/>
      <c r="AE131" s="55"/>
      <c r="AF131" s="55"/>
      <c r="AG131" s="55"/>
      <c r="AH131" s="55"/>
      <c r="AI131" s="55"/>
      <c r="AJ131" s="55"/>
      <c r="AK131" s="55"/>
      <c r="AL131" s="55"/>
      <c r="AM131" s="55"/>
      <c r="AN131" s="55"/>
      <c r="AO131" s="55"/>
      <c r="AP131" s="55"/>
      <c r="AQ131" s="55"/>
      <c r="AR131" s="55"/>
    </row>
    <row r="132" ht="14" customHeight="1" spans="1:44">
      <c r="A132" s="138" t="s">
        <v>350</v>
      </c>
      <c r="B132" s="139" t="s">
        <v>352</v>
      </c>
      <c r="C132" s="78"/>
      <c r="D132" s="80"/>
      <c r="E132" s="80"/>
      <c r="F132" s="80"/>
      <c r="G132" s="80"/>
      <c r="H132" s="80"/>
      <c r="I132" s="86">
        <v>0</v>
      </c>
      <c r="J132" s="86">
        <v>0</v>
      </c>
      <c r="K132" s="87">
        <f>I132-J132</f>
        <v>0</v>
      </c>
    </row>
    <row r="133" ht="14.25" spans="1:44">
      <c r="A133" s="77" t="s">
        <v>353</v>
      </c>
      <c r="B133" s="78" t="s">
        <v>354</v>
      </c>
      <c r="C133" s="78" t="s">
        <v>355</v>
      </c>
      <c r="D133" s="102"/>
      <c r="E133" s="80"/>
      <c r="F133" s="81"/>
      <c r="G133" s="80"/>
      <c r="H133" s="80"/>
      <c r="I133" s="82">
        <v>0</v>
      </c>
      <c r="J133" s="82">
        <v>0</v>
      </c>
      <c r="K133" s="87">
        <f>I133-J133</f>
        <v>0</v>
      </c>
    </row>
    <row r="134" ht="13" customHeight="1" spans="1:44">
      <c r="A134" s="77" t="s">
        <v>356</v>
      </c>
      <c r="B134" s="78" t="s">
        <v>357</v>
      </c>
      <c r="C134" s="78" t="s">
        <v>358</v>
      </c>
      <c r="D134" s="95"/>
      <c r="E134" s="80"/>
      <c r="F134" s="81"/>
      <c r="G134" s="80"/>
      <c r="H134" s="80"/>
      <c r="I134" s="82">
        <v>0</v>
      </c>
      <c r="J134" s="82">
        <v>0</v>
      </c>
      <c r="K134" s="87">
        <f>I134-J134</f>
        <v>0</v>
      </c>
    </row>
    <row r="135" ht="14.25" spans="1:44">
      <c r="A135" s="138" t="s">
        <v>359</v>
      </c>
      <c r="B135" s="139" t="s">
        <v>332</v>
      </c>
      <c r="C135" s="139" t="s">
        <v>360</v>
      </c>
      <c r="D135" s="129"/>
      <c r="E135" s="111"/>
      <c r="F135" s="112"/>
      <c r="G135" s="111"/>
      <c r="H135" s="111"/>
      <c r="I135" s="86">
        <v>0</v>
      </c>
      <c r="J135" s="86">
        <v>0</v>
      </c>
      <c r="K135" s="87">
        <f>I135-J135</f>
        <v>0</v>
      </c>
    </row>
    <row r="136" ht="17" customHeight="1" spans="1:44">
      <c r="A136" s="77" t="s">
        <v>361</v>
      </c>
      <c r="B136" s="78" t="s">
        <v>362</v>
      </c>
      <c r="C136" s="78" t="s">
        <v>363</v>
      </c>
      <c r="D136" s="102"/>
      <c r="E136" s="80"/>
      <c r="F136" s="81"/>
      <c r="G136" s="80"/>
      <c r="H136" s="80"/>
      <c r="I136" s="82">
        <v>0</v>
      </c>
      <c r="J136" s="82">
        <v>0</v>
      </c>
      <c r="K136" s="83">
        <f t="shared" ref="K136:K154" si="8">I136-J136</f>
        <v>0</v>
      </c>
    </row>
    <row r="137" ht="14.25" spans="1:44">
      <c r="A137" s="77" t="s">
        <v>364</v>
      </c>
      <c r="B137" s="78" t="s">
        <v>365</v>
      </c>
      <c r="C137" s="78" t="s">
        <v>366</v>
      </c>
      <c r="D137" s="95"/>
      <c r="E137" s="80"/>
      <c r="F137" s="81"/>
      <c r="G137" s="80"/>
      <c r="H137" s="80"/>
      <c r="I137" s="82">
        <v>0</v>
      </c>
      <c r="J137" s="82">
        <v>0</v>
      </c>
      <c r="K137" s="83">
        <f t="shared" si="8"/>
        <v>0</v>
      </c>
    </row>
    <row r="138" ht="14.25" spans="1:44">
      <c r="A138" s="77" t="s">
        <v>364</v>
      </c>
      <c r="B138" s="78" t="s">
        <v>367</v>
      </c>
      <c r="C138" s="78" t="s">
        <v>368</v>
      </c>
      <c r="D138" s="80"/>
      <c r="E138" s="80"/>
      <c r="F138" s="81"/>
      <c r="G138" s="80"/>
      <c r="H138" s="80"/>
      <c r="I138" s="82">
        <v>0</v>
      </c>
      <c r="J138" s="82">
        <v>0</v>
      </c>
      <c r="K138" s="83">
        <f t="shared" si="8"/>
        <v>0</v>
      </c>
    </row>
    <row r="139" ht="14.25" spans="1:44">
      <c r="A139" s="77" t="s">
        <v>369</v>
      </c>
      <c r="B139" s="78" t="s">
        <v>94</v>
      </c>
      <c r="C139" s="78" t="s">
        <v>370</v>
      </c>
      <c r="D139" s="95"/>
      <c r="E139" s="80"/>
      <c r="F139" s="81"/>
      <c r="G139" s="80"/>
      <c r="H139" s="80"/>
      <c r="I139" s="82">
        <v>0</v>
      </c>
      <c r="J139" s="82">
        <v>0</v>
      </c>
      <c r="K139" s="83">
        <f t="shared" si="8"/>
        <v>0</v>
      </c>
    </row>
    <row r="140" ht="14.25" spans="1:44">
      <c r="A140" s="77" t="s">
        <v>371</v>
      </c>
      <c r="B140" s="78" t="s">
        <v>372</v>
      </c>
      <c r="C140" s="78" t="s">
        <v>373</v>
      </c>
      <c r="D140" s="79"/>
      <c r="E140" s="80"/>
      <c r="F140" s="81"/>
      <c r="G140" s="80"/>
      <c r="H140" s="80"/>
      <c r="I140" s="82">
        <v>0</v>
      </c>
      <c r="J140" s="82">
        <v>0</v>
      </c>
      <c r="K140" s="83">
        <f t="shared" si="8"/>
        <v>0</v>
      </c>
    </row>
    <row r="141" ht="14.25" spans="1:44">
      <c r="A141" s="77" t="s">
        <v>371</v>
      </c>
      <c r="B141" s="78" t="s">
        <v>374</v>
      </c>
      <c r="C141" s="78" t="s">
        <v>375</v>
      </c>
      <c r="D141" s="102"/>
      <c r="E141" s="80"/>
      <c r="F141" s="81"/>
      <c r="G141" s="80"/>
      <c r="H141" s="80"/>
      <c r="I141" s="82">
        <v>0</v>
      </c>
      <c r="J141" s="82">
        <v>0</v>
      </c>
      <c r="K141" s="83">
        <f t="shared" si="8"/>
        <v>0</v>
      </c>
    </row>
    <row r="142" s="54" customFormat="1" ht="14.25" spans="1:44">
      <c r="A142" s="84" t="s">
        <v>376</v>
      </c>
      <c r="B142" s="85" t="s">
        <v>377</v>
      </c>
      <c r="C142" s="85" t="s">
        <v>378</v>
      </c>
      <c r="D142" s="80"/>
      <c r="E142" s="80"/>
      <c r="F142" s="80"/>
      <c r="G142" s="80"/>
      <c r="H142" s="80"/>
      <c r="I142" s="86">
        <v>0</v>
      </c>
      <c r="J142" s="86">
        <v>0</v>
      </c>
      <c r="K142" s="83">
        <f t="shared" si="8"/>
        <v>0</v>
      </c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  <c r="AB142" s="55"/>
      <c r="AC142" s="55"/>
      <c r="AD142" s="55"/>
      <c r="AE142" s="55"/>
      <c r="AF142" s="55"/>
      <c r="AG142" s="55"/>
      <c r="AH142" s="55"/>
      <c r="AI142" s="55"/>
      <c r="AJ142" s="55"/>
      <c r="AK142" s="55"/>
      <c r="AL142" s="55"/>
      <c r="AM142" s="55"/>
      <c r="AN142" s="55"/>
      <c r="AO142" s="55"/>
      <c r="AP142" s="55"/>
      <c r="AQ142" s="55"/>
      <c r="AR142" s="55"/>
    </row>
    <row r="143" s="55" customFormat="1" ht="14.25" spans="1:44">
      <c r="A143" s="84" t="s">
        <v>379</v>
      </c>
      <c r="B143" s="85" t="s">
        <v>380</v>
      </c>
      <c r="C143" s="85" t="s">
        <v>381</v>
      </c>
      <c r="D143" s="95"/>
      <c r="E143" s="80"/>
      <c r="F143" s="81"/>
      <c r="G143" s="80"/>
      <c r="H143" s="80"/>
      <c r="I143" s="86">
        <v>0</v>
      </c>
      <c r="J143" s="86">
        <v>0</v>
      </c>
      <c r="K143" s="87">
        <f t="shared" si="8"/>
        <v>0</v>
      </c>
    </row>
    <row r="144" ht="18" customHeight="1" spans="1:44">
      <c r="A144" s="84" t="s">
        <v>382</v>
      </c>
      <c r="B144" s="85" t="s">
        <v>383</v>
      </c>
      <c r="C144" s="85" t="s">
        <v>384</v>
      </c>
      <c r="D144" s="80"/>
      <c r="E144" s="80"/>
      <c r="F144" s="80"/>
      <c r="G144" s="80"/>
      <c r="H144" s="80"/>
      <c r="I144" s="86">
        <v>0</v>
      </c>
      <c r="J144" s="86">
        <v>0</v>
      </c>
      <c r="K144" s="87">
        <f t="shared" si="8"/>
        <v>0</v>
      </c>
    </row>
    <row r="145" ht="14.25" spans="1:44">
      <c r="A145" s="77" t="s">
        <v>385</v>
      </c>
      <c r="B145" s="78" t="s">
        <v>386</v>
      </c>
      <c r="C145" s="78" t="s">
        <v>387</v>
      </c>
      <c r="D145" s="80"/>
      <c r="E145" s="80"/>
      <c r="F145" s="81"/>
      <c r="G145" s="80"/>
      <c r="H145" s="80"/>
      <c r="I145" s="82">
        <v>0</v>
      </c>
      <c r="J145" s="82">
        <v>0</v>
      </c>
      <c r="K145" s="83">
        <f t="shared" si="8"/>
        <v>0</v>
      </c>
    </row>
    <row r="146" ht="27" customHeight="1" spans="1:44">
      <c r="A146" s="77" t="s">
        <v>388</v>
      </c>
      <c r="B146" s="78" t="s">
        <v>389</v>
      </c>
      <c r="C146" s="78" t="s">
        <v>390</v>
      </c>
      <c r="D146" s="102"/>
      <c r="E146" s="80"/>
      <c r="F146" s="81"/>
      <c r="G146" s="80"/>
      <c r="H146" s="80"/>
      <c r="I146" s="82">
        <v>0</v>
      </c>
      <c r="J146" s="82">
        <v>0</v>
      </c>
      <c r="K146" s="83">
        <f t="shared" si="8"/>
        <v>0</v>
      </c>
    </row>
    <row r="147" customHeight="1" spans="1:44">
      <c r="A147" s="84" t="s">
        <v>391</v>
      </c>
      <c r="B147" s="85" t="s">
        <v>392</v>
      </c>
      <c r="C147" s="78"/>
      <c r="D147" s="80"/>
      <c r="E147" s="80"/>
      <c r="F147" s="81"/>
      <c r="G147" s="80"/>
      <c r="H147" s="80"/>
      <c r="I147" s="86">
        <v>0</v>
      </c>
      <c r="J147" s="86">
        <v>0</v>
      </c>
      <c r="K147" s="87">
        <f t="shared" si="8"/>
        <v>0</v>
      </c>
    </row>
    <row r="148" ht="14" customHeight="1" spans="1:44">
      <c r="A148" s="77" t="s">
        <v>393</v>
      </c>
      <c r="B148" s="78" t="s">
        <v>394</v>
      </c>
      <c r="C148" s="78" t="s">
        <v>395</v>
      </c>
      <c r="D148" s="95"/>
      <c r="E148" s="80"/>
      <c r="F148" s="81"/>
      <c r="G148" s="80"/>
      <c r="H148" s="80"/>
      <c r="I148" s="82">
        <v>0</v>
      </c>
      <c r="J148" s="82">
        <v>0</v>
      </c>
      <c r="K148" s="83">
        <f t="shared" si="8"/>
        <v>0</v>
      </c>
    </row>
    <row r="149" s="54" customFormat="1" ht="14.25" spans="1:44">
      <c r="A149" s="84" t="s">
        <v>396</v>
      </c>
      <c r="B149" s="85" t="s">
        <v>397</v>
      </c>
      <c r="C149" s="85" t="s">
        <v>398</v>
      </c>
      <c r="D149" s="80"/>
      <c r="E149" s="80"/>
      <c r="F149" s="80"/>
      <c r="G149" s="80"/>
      <c r="H149" s="80"/>
      <c r="I149" s="86">
        <v>0</v>
      </c>
      <c r="J149" s="86">
        <v>0</v>
      </c>
      <c r="K149" s="83">
        <f t="shared" si="8"/>
        <v>0</v>
      </c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/>
      <c r="AB149" s="55"/>
      <c r="AC149" s="55"/>
      <c r="AD149" s="55"/>
      <c r="AE149" s="55"/>
      <c r="AF149" s="55"/>
      <c r="AG149" s="55"/>
      <c r="AH149" s="55"/>
      <c r="AI149" s="55"/>
      <c r="AJ149" s="55"/>
      <c r="AK149" s="55"/>
      <c r="AL149" s="55"/>
      <c r="AM149" s="55"/>
      <c r="AN149" s="55"/>
      <c r="AO149" s="55"/>
      <c r="AP149" s="55"/>
      <c r="AQ149" s="55"/>
      <c r="AR149" s="55"/>
    </row>
    <row r="150" ht="14" customHeight="1" spans="1:44">
      <c r="A150" s="77" t="s">
        <v>399</v>
      </c>
      <c r="B150" s="78" t="s">
        <v>400</v>
      </c>
      <c r="C150" s="78" t="s">
        <v>401</v>
      </c>
      <c r="D150" s="95"/>
      <c r="E150" s="80"/>
      <c r="F150" s="81"/>
      <c r="G150" s="80"/>
      <c r="H150" s="80"/>
      <c r="I150" s="82">
        <v>0</v>
      </c>
      <c r="J150" s="82">
        <v>0</v>
      </c>
      <c r="K150" s="87">
        <f t="shared" si="8"/>
        <v>0</v>
      </c>
    </row>
    <row r="151" s="54" customFormat="1" ht="14.25" spans="1:44">
      <c r="A151" s="84" t="s">
        <v>402</v>
      </c>
      <c r="B151" s="85" t="s">
        <v>403</v>
      </c>
      <c r="C151" s="85" t="s">
        <v>404</v>
      </c>
      <c r="D151" s="111"/>
      <c r="E151" s="111"/>
      <c r="F151" s="112"/>
      <c r="G151" s="111"/>
      <c r="H151" s="111"/>
      <c r="I151" s="86">
        <v>0</v>
      </c>
      <c r="J151" s="86">
        <v>0</v>
      </c>
      <c r="K151" s="83">
        <f t="shared" si="8"/>
        <v>0</v>
      </c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55"/>
      <c r="AB151" s="55"/>
      <c r="AC151" s="55"/>
      <c r="AD151" s="55"/>
      <c r="AE151" s="55"/>
      <c r="AF151" s="55"/>
      <c r="AG151" s="55"/>
      <c r="AH151" s="55"/>
      <c r="AI151" s="55"/>
      <c r="AJ151" s="55"/>
      <c r="AK151" s="55"/>
      <c r="AL151" s="55"/>
      <c r="AM151" s="55"/>
      <c r="AN151" s="55"/>
      <c r="AO151" s="55"/>
      <c r="AP151" s="55"/>
      <c r="AQ151" s="55"/>
      <c r="AR151" s="55"/>
    </row>
    <row r="152" customHeight="1" spans="1:44">
      <c r="A152" s="84" t="s">
        <v>405</v>
      </c>
      <c r="B152" s="85" t="s">
        <v>406</v>
      </c>
      <c r="C152" s="85" t="s">
        <v>407</v>
      </c>
      <c r="D152" s="80"/>
      <c r="E152" s="80"/>
      <c r="F152" s="80"/>
      <c r="G152" s="80"/>
      <c r="H152" s="80"/>
      <c r="I152" s="86">
        <v>0</v>
      </c>
      <c r="J152" s="86">
        <v>0</v>
      </c>
      <c r="K152" s="87">
        <f t="shared" si="8"/>
        <v>0</v>
      </c>
    </row>
    <row r="153" ht="25.5" spans="1:44">
      <c r="A153" s="77" t="s">
        <v>408</v>
      </c>
      <c r="B153" s="78" t="s">
        <v>409</v>
      </c>
      <c r="C153" s="78" t="s">
        <v>410</v>
      </c>
      <c r="D153" s="102"/>
      <c r="E153" s="80"/>
      <c r="F153" s="81"/>
      <c r="G153" s="80"/>
      <c r="H153" s="80"/>
      <c r="I153" s="82">
        <v>0</v>
      </c>
      <c r="J153" s="82">
        <v>0</v>
      </c>
      <c r="K153" s="83">
        <f t="shared" si="8"/>
        <v>0</v>
      </c>
    </row>
    <row r="154" ht="14" customHeight="1" spans="1:44">
      <c r="A154" s="126" t="s">
        <v>411</v>
      </c>
      <c r="B154" s="127" t="s">
        <v>412</v>
      </c>
      <c r="C154" s="127" t="s">
        <v>413</v>
      </c>
      <c r="D154" s="102"/>
      <c r="E154" s="80"/>
      <c r="F154" s="81"/>
      <c r="G154" s="80"/>
      <c r="H154" s="80"/>
      <c r="I154" s="82">
        <v>0</v>
      </c>
      <c r="J154" s="82">
        <v>0</v>
      </c>
      <c r="K154" s="83">
        <f t="shared" si="8"/>
        <v>0</v>
      </c>
    </row>
    <row r="155" ht="14.25" spans="1:44">
      <c r="A155" s="84" t="s">
        <v>414</v>
      </c>
      <c r="B155" s="85" t="s">
        <v>415</v>
      </c>
      <c r="C155" s="85" t="s">
        <v>120</v>
      </c>
      <c r="D155" s="80"/>
      <c r="E155" s="80"/>
      <c r="F155" s="80"/>
      <c r="G155" s="80"/>
      <c r="H155" s="80"/>
      <c r="I155" s="86">
        <v>0</v>
      </c>
      <c r="J155" s="86">
        <v>0</v>
      </c>
      <c r="K155" s="87">
        <f t="shared" ref="K155:K186" si="9">I155-J155</f>
        <v>0</v>
      </c>
    </row>
    <row r="156" ht="16" customHeight="1" spans="1:44">
      <c r="A156" s="84" t="s">
        <v>414</v>
      </c>
      <c r="B156" s="85" t="s">
        <v>416</v>
      </c>
      <c r="C156" s="85" t="s">
        <v>417</v>
      </c>
      <c r="D156" s="80"/>
      <c r="E156" s="80"/>
      <c r="F156" s="80"/>
      <c r="G156" s="80"/>
      <c r="H156" s="80"/>
      <c r="I156" s="86">
        <v>0</v>
      </c>
      <c r="J156" s="86">
        <v>0</v>
      </c>
      <c r="K156" s="87">
        <f t="shared" si="9"/>
        <v>0</v>
      </c>
    </row>
    <row r="157" spans="1:44">
      <c r="A157" s="96" t="s">
        <v>418</v>
      </c>
      <c r="B157" s="97" t="s">
        <v>419</v>
      </c>
      <c r="C157" s="97" t="s">
        <v>420</v>
      </c>
      <c r="D157" s="140" t="s">
        <v>421</v>
      </c>
      <c r="E157" s="98">
        <v>250331</v>
      </c>
      <c r="F157" s="99">
        <v>45968</v>
      </c>
      <c r="G157" s="98">
        <v>2800</v>
      </c>
      <c r="H157" s="98">
        <v>2800</v>
      </c>
      <c r="I157" s="100">
        <v>97</v>
      </c>
      <c r="J157" s="100">
        <v>25</v>
      </c>
      <c r="K157" s="101">
        <f t="shared" si="9"/>
        <v>72</v>
      </c>
    </row>
    <row r="158" ht="16" customHeight="1" spans="1:44">
      <c r="A158" s="84" t="s">
        <v>422</v>
      </c>
      <c r="B158" s="85" t="s">
        <v>423</v>
      </c>
      <c r="C158" s="85" t="s">
        <v>424</v>
      </c>
      <c r="D158" s="95"/>
      <c r="E158" s="80"/>
      <c r="F158" s="81"/>
      <c r="G158" s="80"/>
      <c r="H158" s="80"/>
      <c r="I158" s="86">
        <v>0</v>
      </c>
      <c r="J158" s="86">
        <v>0</v>
      </c>
      <c r="K158" s="87">
        <f t="shared" si="9"/>
        <v>0</v>
      </c>
    </row>
    <row r="159" s="54" customFormat="1" ht="14.25" spans="1:44">
      <c r="A159" s="84" t="s">
        <v>418</v>
      </c>
      <c r="B159" s="85" t="s">
        <v>425</v>
      </c>
      <c r="C159" s="85" t="s">
        <v>426</v>
      </c>
      <c r="D159" s="102"/>
      <c r="E159" s="80"/>
      <c r="F159" s="80"/>
      <c r="G159" s="80"/>
      <c r="H159" s="80"/>
      <c r="I159" s="86">
        <v>0</v>
      </c>
      <c r="J159" s="86">
        <v>0</v>
      </c>
      <c r="K159" s="83">
        <f t="shared" si="9"/>
        <v>0</v>
      </c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  <c r="AA159" s="55"/>
      <c r="AB159" s="55"/>
      <c r="AC159" s="55"/>
      <c r="AD159" s="55"/>
      <c r="AE159" s="55"/>
      <c r="AF159" s="55"/>
      <c r="AG159" s="55"/>
      <c r="AH159" s="55"/>
      <c r="AI159" s="55"/>
      <c r="AJ159" s="55"/>
      <c r="AK159" s="55"/>
      <c r="AL159" s="55"/>
      <c r="AM159" s="55"/>
      <c r="AN159" s="55"/>
      <c r="AO159" s="55"/>
      <c r="AP159" s="55"/>
      <c r="AQ159" s="55"/>
      <c r="AR159" s="55"/>
    </row>
    <row r="160" s="54" customFormat="1" ht="17" customHeight="1" spans="1:44">
      <c r="A160" s="84" t="s">
        <v>422</v>
      </c>
      <c r="B160" s="85" t="s">
        <v>427</v>
      </c>
      <c r="C160" s="78"/>
      <c r="D160" s="80"/>
      <c r="E160" s="80"/>
      <c r="F160" s="80"/>
      <c r="G160" s="80"/>
      <c r="H160" s="80"/>
      <c r="I160" s="86">
        <v>0</v>
      </c>
      <c r="J160" s="86">
        <v>0</v>
      </c>
      <c r="K160" s="83">
        <f t="shared" si="9"/>
        <v>0</v>
      </c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55"/>
      <c r="AB160" s="55"/>
      <c r="AC160" s="55"/>
      <c r="AD160" s="55"/>
      <c r="AE160" s="55"/>
      <c r="AF160" s="55"/>
      <c r="AG160" s="55"/>
      <c r="AH160" s="55"/>
      <c r="AI160" s="55"/>
      <c r="AJ160" s="55"/>
      <c r="AK160" s="55"/>
      <c r="AL160" s="55"/>
      <c r="AM160" s="55"/>
      <c r="AN160" s="55"/>
      <c r="AO160" s="55"/>
      <c r="AP160" s="55"/>
      <c r="AQ160" s="55"/>
      <c r="AR160" s="55"/>
    </row>
    <row r="161" s="54" customFormat="1" customHeight="1" spans="1:44">
      <c r="A161" s="77" t="s">
        <v>418</v>
      </c>
      <c r="B161" s="78" t="s">
        <v>428</v>
      </c>
      <c r="C161" s="78" t="s">
        <v>429</v>
      </c>
      <c r="D161" s="79"/>
      <c r="E161" s="80"/>
      <c r="F161" s="81"/>
      <c r="G161" s="80"/>
      <c r="H161" s="80"/>
      <c r="I161" s="82">
        <v>0</v>
      </c>
      <c r="J161" s="82">
        <v>0</v>
      </c>
      <c r="K161" s="83">
        <f t="shared" si="9"/>
        <v>0</v>
      </c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  <c r="AA161" s="55"/>
      <c r="AB161" s="55"/>
      <c r="AC161" s="55"/>
      <c r="AD161" s="55"/>
      <c r="AE161" s="55"/>
      <c r="AF161" s="55"/>
      <c r="AG161" s="55"/>
      <c r="AH161" s="55"/>
      <c r="AI161" s="55"/>
      <c r="AJ161" s="55"/>
      <c r="AK161" s="55"/>
      <c r="AL161" s="55"/>
      <c r="AM161" s="55"/>
      <c r="AN161" s="55"/>
      <c r="AO161" s="55"/>
      <c r="AP161" s="55"/>
      <c r="AQ161" s="55"/>
      <c r="AR161" s="55"/>
    </row>
    <row r="162" spans="1:44">
      <c r="A162" s="88" t="s">
        <v>430</v>
      </c>
      <c r="B162" s="89" t="s">
        <v>431</v>
      </c>
      <c r="C162" s="89" t="s">
        <v>432</v>
      </c>
      <c r="D162" s="90" t="s">
        <v>26</v>
      </c>
      <c r="E162" s="91">
        <v>2310615</v>
      </c>
      <c r="F162" s="92">
        <v>45352</v>
      </c>
      <c r="G162" s="91">
        <v>100</v>
      </c>
      <c r="H162" s="91">
        <v>100</v>
      </c>
      <c r="I162" s="93">
        <v>252</v>
      </c>
      <c r="J162" s="93">
        <v>0</v>
      </c>
      <c r="K162" s="94">
        <f t="shared" si="9"/>
        <v>252</v>
      </c>
    </row>
    <row r="163" s="54" customFormat="1" ht="14" customHeight="1" spans="1:44">
      <c r="A163" s="84" t="s">
        <v>430</v>
      </c>
      <c r="B163" s="85" t="s">
        <v>433</v>
      </c>
      <c r="C163" s="85" t="s">
        <v>57</v>
      </c>
      <c r="D163" s="80"/>
      <c r="E163" s="80"/>
      <c r="F163" s="80"/>
      <c r="G163" s="80"/>
      <c r="H163" s="80"/>
      <c r="I163" s="86">
        <v>0</v>
      </c>
      <c r="J163" s="86">
        <v>0</v>
      </c>
      <c r="K163" s="83">
        <f t="shared" si="9"/>
        <v>0</v>
      </c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  <c r="AA163" s="55"/>
      <c r="AB163" s="55"/>
      <c r="AC163" s="55"/>
      <c r="AD163" s="55"/>
      <c r="AE163" s="55"/>
      <c r="AF163" s="55"/>
      <c r="AG163" s="55"/>
      <c r="AH163" s="55"/>
      <c r="AI163" s="55"/>
      <c r="AJ163" s="55"/>
      <c r="AK163" s="55"/>
      <c r="AL163" s="55"/>
      <c r="AM163" s="55"/>
      <c r="AN163" s="55"/>
      <c r="AO163" s="55"/>
      <c r="AP163" s="55"/>
      <c r="AQ163" s="55"/>
      <c r="AR163" s="55"/>
    </row>
    <row r="164" s="54" customFormat="1" ht="14.25" spans="1:44">
      <c r="A164" s="77" t="s">
        <v>434</v>
      </c>
      <c r="B164" s="78" t="s">
        <v>435</v>
      </c>
      <c r="C164" s="78"/>
      <c r="D164" s="80"/>
      <c r="E164" s="80"/>
      <c r="F164" s="81"/>
      <c r="G164" s="80"/>
      <c r="H164" s="80"/>
      <c r="I164" s="82">
        <v>0</v>
      </c>
      <c r="J164" s="82">
        <v>0</v>
      </c>
      <c r="K164" s="83">
        <f t="shared" si="9"/>
        <v>0</v>
      </c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  <c r="AA164" s="55"/>
      <c r="AB164" s="55"/>
      <c r="AC164" s="55"/>
      <c r="AD164" s="55"/>
      <c r="AE164" s="55"/>
      <c r="AF164" s="55"/>
      <c r="AG164" s="55"/>
      <c r="AH164" s="55"/>
      <c r="AI164" s="55"/>
      <c r="AJ164" s="55"/>
      <c r="AK164" s="55"/>
      <c r="AL164" s="55"/>
      <c r="AM164" s="55"/>
      <c r="AN164" s="55"/>
      <c r="AO164" s="55"/>
      <c r="AP164" s="55"/>
      <c r="AQ164" s="55"/>
      <c r="AR164" s="55"/>
    </row>
    <row r="165" ht="14.25" spans="1:44">
      <c r="A165" s="77" t="s">
        <v>436</v>
      </c>
      <c r="B165" s="78" t="s">
        <v>437</v>
      </c>
      <c r="C165" s="78" t="s">
        <v>438</v>
      </c>
      <c r="D165" s="95"/>
      <c r="E165" s="80"/>
      <c r="F165" s="81"/>
      <c r="G165" s="80"/>
      <c r="H165" s="80"/>
      <c r="I165" s="82">
        <v>0</v>
      </c>
      <c r="J165" s="82">
        <v>0</v>
      </c>
      <c r="K165" s="87">
        <f t="shared" si="9"/>
        <v>0</v>
      </c>
    </row>
    <row r="166" ht="24" customHeight="1" spans="1:44">
      <c r="A166" s="84" t="s">
        <v>439</v>
      </c>
      <c r="B166" s="85" t="s">
        <v>440</v>
      </c>
      <c r="C166" s="85" t="s">
        <v>441</v>
      </c>
      <c r="D166" s="80"/>
      <c r="E166" s="80"/>
      <c r="F166" s="80"/>
      <c r="G166" s="80"/>
      <c r="H166" s="80"/>
      <c r="I166" s="86">
        <v>0</v>
      </c>
      <c r="J166" s="86">
        <v>0</v>
      </c>
      <c r="K166" s="87">
        <f t="shared" si="9"/>
        <v>0</v>
      </c>
    </row>
    <row r="167" ht="14.25" spans="1:44">
      <c r="A167" s="77" t="s">
        <v>414</v>
      </c>
      <c r="B167" s="78" t="s">
        <v>442</v>
      </c>
      <c r="C167" s="78" t="s">
        <v>443</v>
      </c>
      <c r="D167" s="80"/>
      <c r="E167" s="80"/>
      <c r="F167" s="81"/>
      <c r="G167" s="80"/>
      <c r="H167" s="80"/>
      <c r="I167" s="82">
        <v>0</v>
      </c>
      <c r="J167" s="82">
        <v>0</v>
      </c>
      <c r="K167" s="83">
        <f t="shared" si="9"/>
        <v>0</v>
      </c>
    </row>
    <row r="168" ht="14.25" spans="1:44">
      <c r="A168" s="96" t="s">
        <v>444</v>
      </c>
      <c r="B168" s="97" t="s">
        <v>58</v>
      </c>
      <c r="C168" s="97" t="s">
        <v>445</v>
      </c>
      <c r="D168" s="110">
        <v>46569</v>
      </c>
      <c r="E168" s="98" t="s">
        <v>446</v>
      </c>
      <c r="F168" s="99">
        <v>45968</v>
      </c>
      <c r="G168" s="98">
        <v>300</v>
      </c>
      <c r="H168" s="98">
        <v>300</v>
      </c>
      <c r="I168" s="100">
        <v>290</v>
      </c>
      <c r="J168" s="100">
        <v>0</v>
      </c>
      <c r="K168" s="101">
        <f t="shared" si="9"/>
        <v>290</v>
      </c>
    </row>
    <row r="169" spans="1:44">
      <c r="A169" s="96" t="s">
        <v>447</v>
      </c>
      <c r="B169" s="97" t="s">
        <v>89</v>
      </c>
      <c r="C169" s="97" t="s">
        <v>120</v>
      </c>
      <c r="D169" s="98" t="s">
        <v>448</v>
      </c>
      <c r="E169" s="98" t="s">
        <v>449</v>
      </c>
      <c r="F169" s="99">
        <v>45526</v>
      </c>
      <c r="G169" s="98">
        <v>400</v>
      </c>
      <c r="H169" s="98">
        <v>400</v>
      </c>
      <c r="I169" s="100">
        <v>238</v>
      </c>
      <c r="J169" s="100">
        <v>0</v>
      </c>
      <c r="K169" s="101">
        <f t="shared" si="9"/>
        <v>238</v>
      </c>
    </row>
    <row r="170" ht="14.25" spans="1:44">
      <c r="A170" s="77" t="s">
        <v>450</v>
      </c>
      <c r="B170" s="78" t="s">
        <v>451</v>
      </c>
      <c r="C170" s="78" t="s">
        <v>120</v>
      </c>
      <c r="D170" s="79"/>
      <c r="E170" s="80"/>
      <c r="F170" s="81"/>
      <c r="G170" s="80"/>
      <c r="H170" s="80"/>
      <c r="I170" s="82">
        <v>0</v>
      </c>
      <c r="J170" s="82">
        <v>0</v>
      </c>
      <c r="K170" s="83">
        <f t="shared" si="9"/>
        <v>0</v>
      </c>
    </row>
    <row r="171" s="54" customFormat="1" ht="25.5" spans="1:44">
      <c r="A171" s="84" t="s">
        <v>452</v>
      </c>
      <c r="B171" s="85" t="s">
        <v>453</v>
      </c>
      <c r="C171" s="85" t="s">
        <v>454</v>
      </c>
      <c r="D171" s="80"/>
      <c r="E171" s="80"/>
      <c r="F171" s="80"/>
      <c r="G171" s="80"/>
      <c r="H171" s="80"/>
      <c r="I171" s="86">
        <v>0</v>
      </c>
      <c r="J171" s="86">
        <v>0</v>
      </c>
      <c r="K171" s="83">
        <f t="shared" si="9"/>
        <v>0</v>
      </c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  <c r="AA171" s="55"/>
      <c r="AB171" s="55"/>
      <c r="AC171" s="55"/>
      <c r="AD171" s="55"/>
      <c r="AE171" s="55"/>
      <c r="AF171" s="55"/>
      <c r="AG171" s="55"/>
      <c r="AH171" s="55"/>
      <c r="AI171" s="55"/>
      <c r="AJ171" s="55"/>
      <c r="AK171" s="55"/>
      <c r="AL171" s="55"/>
      <c r="AM171" s="55"/>
      <c r="AN171" s="55"/>
      <c r="AO171" s="55"/>
      <c r="AP171" s="55"/>
      <c r="AQ171" s="55"/>
      <c r="AR171" s="55"/>
    </row>
    <row r="172" ht="12" customHeight="1" spans="1:44">
      <c r="A172" s="77" t="s">
        <v>455</v>
      </c>
      <c r="B172" s="78" t="s">
        <v>456</v>
      </c>
      <c r="C172" s="78" t="s">
        <v>457</v>
      </c>
      <c r="D172" s="95"/>
      <c r="E172" s="80"/>
      <c r="F172" s="81"/>
      <c r="G172" s="80"/>
      <c r="H172" s="80"/>
      <c r="I172" s="82">
        <v>0</v>
      </c>
      <c r="J172" s="82">
        <v>0</v>
      </c>
      <c r="K172" s="87">
        <f t="shared" si="9"/>
        <v>0</v>
      </c>
    </row>
    <row r="173" ht="25.5" spans="1:44">
      <c r="A173" s="77" t="s">
        <v>458</v>
      </c>
      <c r="B173" s="78" t="s">
        <v>459</v>
      </c>
      <c r="C173" s="78" t="s">
        <v>460</v>
      </c>
      <c r="D173" s="95"/>
      <c r="E173" s="80"/>
      <c r="F173" s="81"/>
      <c r="G173" s="80"/>
      <c r="H173" s="80"/>
      <c r="I173" s="82">
        <v>0</v>
      </c>
      <c r="J173" s="82">
        <v>0</v>
      </c>
      <c r="K173" s="83">
        <f t="shared" si="9"/>
        <v>0</v>
      </c>
    </row>
    <row r="174" ht="14.25" spans="1:44">
      <c r="A174" s="77" t="s">
        <v>461</v>
      </c>
      <c r="B174" s="78" t="s">
        <v>462</v>
      </c>
      <c r="C174" s="78" t="s">
        <v>463</v>
      </c>
      <c r="D174" s="80"/>
      <c r="E174" s="80"/>
      <c r="F174" s="81"/>
      <c r="G174" s="80"/>
      <c r="H174" s="80"/>
      <c r="I174" s="82">
        <v>0</v>
      </c>
      <c r="J174" s="82">
        <v>0</v>
      </c>
      <c r="K174" s="83">
        <f t="shared" si="9"/>
        <v>0</v>
      </c>
    </row>
    <row r="175" ht="14.25" spans="1:44">
      <c r="A175" s="96" t="s">
        <v>464</v>
      </c>
      <c r="B175" s="97" t="s">
        <v>84</v>
      </c>
      <c r="C175" s="97" t="s">
        <v>465</v>
      </c>
      <c r="D175" s="110">
        <v>46569</v>
      </c>
      <c r="E175" s="98">
        <v>240202</v>
      </c>
      <c r="F175" s="99">
        <v>45827</v>
      </c>
      <c r="G175" s="98">
        <v>4640</v>
      </c>
      <c r="H175" s="98">
        <v>4640</v>
      </c>
      <c r="I175" s="100">
        <v>5386</v>
      </c>
      <c r="J175" s="100">
        <v>0</v>
      </c>
      <c r="K175" s="101">
        <f t="shared" si="9"/>
        <v>5386</v>
      </c>
    </row>
    <row r="176" ht="14.25" spans="1:44">
      <c r="A176" s="96" t="s">
        <v>466</v>
      </c>
      <c r="B176" s="97" t="s">
        <v>467</v>
      </c>
      <c r="C176" s="97" t="s">
        <v>468</v>
      </c>
      <c r="D176" s="110">
        <v>46539</v>
      </c>
      <c r="E176" s="98" t="s">
        <v>469</v>
      </c>
      <c r="F176" s="99">
        <v>45705</v>
      </c>
      <c r="G176" s="98">
        <v>100</v>
      </c>
      <c r="H176" s="98">
        <v>100</v>
      </c>
      <c r="I176" s="100">
        <v>70</v>
      </c>
      <c r="J176" s="100">
        <v>0</v>
      </c>
      <c r="K176" s="101">
        <f t="shared" si="9"/>
        <v>70</v>
      </c>
    </row>
    <row r="177" customHeight="1" spans="1:44">
      <c r="A177" s="84" t="s">
        <v>470</v>
      </c>
      <c r="B177" s="85" t="s">
        <v>471</v>
      </c>
      <c r="C177" s="85" t="s">
        <v>472</v>
      </c>
      <c r="D177" s="95"/>
      <c r="E177" s="80"/>
      <c r="F177" s="81"/>
      <c r="G177" s="80"/>
      <c r="H177" s="80"/>
      <c r="I177" s="86">
        <v>0</v>
      </c>
      <c r="J177" s="86">
        <v>0</v>
      </c>
      <c r="K177" s="87">
        <f t="shared" si="9"/>
        <v>0</v>
      </c>
    </row>
    <row r="178" ht="14.25" spans="1:44">
      <c r="A178" s="96" t="s">
        <v>473</v>
      </c>
      <c r="B178" s="97" t="s">
        <v>451</v>
      </c>
      <c r="C178" s="97" t="s">
        <v>474</v>
      </c>
      <c r="D178" s="110">
        <v>46447</v>
      </c>
      <c r="E178" s="98" t="s">
        <v>475</v>
      </c>
      <c r="F178" s="99">
        <v>45705</v>
      </c>
      <c r="G178" s="98">
        <v>50</v>
      </c>
      <c r="H178" s="98">
        <v>50</v>
      </c>
      <c r="I178" s="100">
        <v>50</v>
      </c>
      <c r="J178" s="100">
        <v>0</v>
      </c>
      <c r="K178" s="101">
        <f t="shared" si="9"/>
        <v>50</v>
      </c>
    </row>
    <row r="179" customHeight="1" spans="1:44">
      <c r="A179" s="77" t="s">
        <v>476</v>
      </c>
      <c r="B179" s="78" t="s">
        <v>477</v>
      </c>
      <c r="C179" s="78" t="s">
        <v>478</v>
      </c>
      <c r="D179" s="80"/>
      <c r="E179" s="80"/>
      <c r="F179" s="81"/>
      <c r="G179" s="80"/>
      <c r="H179" s="80"/>
      <c r="I179" s="82">
        <v>0</v>
      </c>
      <c r="J179" s="82">
        <v>0</v>
      </c>
      <c r="K179" s="83">
        <f t="shared" si="9"/>
        <v>0</v>
      </c>
    </row>
    <row r="180" ht="14.25" spans="1:44">
      <c r="A180" s="96" t="s">
        <v>479</v>
      </c>
      <c r="B180" s="97" t="s">
        <v>480</v>
      </c>
      <c r="C180" s="97" t="s">
        <v>481</v>
      </c>
      <c r="D180" s="98" t="s">
        <v>421</v>
      </c>
      <c r="E180" s="98">
        <v>143140</v>
      </c>
      <c r="F180" s="99">
        <v>45827</v>
      </c>
      <c r="G180" s="98">
        <v>20000</v>
      </c>
      <c r="H180" s="98">
        <v>20000</v>
      </c>
      <c r="I180" s="100">
        <v>21000</v>
      </c>
      <c r="J180" s="100">
        <v>0</v>
      </c>
      <c r="K180" s="101">
        <f t="shared" si="9"/>
        <v>21000</v>
      </c>
    </row>
    <row r="181" ht="14.25" spans="1:44">
      <c r="A181" s="96" t="s">
        <v>479</v>
      </c>
      <c r="B181" s="97" t="s">
        <v>482</v>
      </c>
      <c r="C181" s="97" t="s">
        <v>481</v>
      </c>
      <c r="D181" s="98" t="s">
        <v>262</v>
      </c>
      <c r="E181" s="98">
        <v>144088</v>
      </c>
      <c r="F181" s="99">
        <v>45827</v>
      </c>
      <c r="G181" s="98">
        <v>20000</v>
      </c>
      <c r="H181" s="98">
        <v>20000</v>
      </c>
      <c r="I181" s="100">
        <v>21000</v>
      </c>
      <c r="J181" s="100">
        <v>0</v>
      </c>
      <c r="K181" s="101">
        <f t="shared" si="9"/>
        <v>21000</v>
      </c>
    </row>
    <row r="182" s="54" customFormat="1" ht="14.25" spans="1:44">
      <c r="A182" s="84" t="s">
        <v>483</v>
      </c>
      <c r="B182" s="85" t="s">
        <v>484</v>
      </c>
      <c r="C182" s="85" t="s">
        <v>485</v>
      </c>
      <c r="D182" s="80"/>
      <c r="E182" s="80"/>
      <c r="F182" s="80"/>
      <c r="G182" s="80"/>
      <c r="H182" s="80"/>
      <c r="I182" s="86">
        <v>0</v>
      </c>
      <c r="J182" s="86">
        <v>0</v>
      </c>
      <c r="K182" s="83">
        <f t="shared" si="9"/>
        <v>0</v>
      </c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55"/>
      <c r="AB182" s="55"/>
      <c r="AC182" s="55"/>
      <c r="AD182" s="55"/>
      <c r="AE182" s="55"/>
      <c r="AF182" s="55"/>
      <c r="AG182" s="55"/>
      <c r="AH182" s="55"/>
      <c r="AI182" s="55"/>
      <c r="AJ182" s="55"/>
      <c r="AK182" s="55"/>
      <c r="AL182" s="55"/>
      <c r="AM182" s="55"/>
      <c r="AN182" s="55"/>
      <c r="AO182" s="55"/>
      <c r="AP182" s="55"/>
      <c r="AQ182" s="55"/>
      <c r="AR182" s="55"/>
    </row>
    <row r="183" customHeight="1" spans="1:44">
      <c r="A183" s="77" t="s">
        <v>486</v>
      </c>
      <c r="B183" s="78" t="s">
        <v>487</v>
      </c>
      <c r="C183" s="78" t="s">
        <v>120</v>
      </c>
      <c r="D183" s="79"/>
      <c r="E183" s="80"/>
      <c r="F183" s="81"/>
      <c r="G183" s="80"/>
      <c r="H183" s="80"/>
      <c r="I183" s="113">
        <v>0</v>
      </c>
      <c r="J183" s="113">
        <v>0</v>
      </c>
      <c r="K183" s="114">
        <f t="shared" si="9"/>
        <v>0</v>
      </c>
    </row>
    <row r="184" ht="14.25" spans="1:44">
      <c r="A184" s="77" t="s">
        <v>488</v>
      </c>
      <c r="B184" s="78" t="s">
        <v>489</v>
      </c>
      <c r="C184" s="78" t="s">
        <v>490</v>
      </c>
      <c r="D184" s="80"/>
      <c r="E184" s="80"/>
      <c r="F184" s="81"/>
      <c r="G184" s="80"/>
      <c r="H184" s="80"/>
      <c r="I184" s="82">
        <v>0</v>
      </c>
      <c r="J184" s="82">
        <v>0</v>
      </c>
      <c r="K184" s="83">
        <f t="shared" si="9"/>
        <v>0</v>
      </c>
    </row>
    <row r="185" ht="14.25" spans="1:44">
      <c r="A185" s="77" t="s">
        <v>488</v>
      </c>
      <c r="B185" s="78" t="s">
        <v>451</v>
      </c>
      <c r="C185" s="78" t="s">
        <v>491</v>
      </c>
      <c r="D185" s="80"/>
      <c r="E185" s="80"/>
      <c r="F185" s="80"/>
      <c r="G185" s="80"/>
      <c r="H185" s="80"/>
      <c r="I185" s="82">
        <v>0</v>
      </c>
      <c r="J185" s="82">
        <v>0</v>
      </c>
      <c r="K185" s="83">
        <f t="shared" si="9"/>
        <v>0</v>
      </c>
    </row>
    <row r="186" spans="1:44">
      <c r="A186" s="141" t="s">
        <v>492</v>
      </c>
      <c r="B186" s="117" t="s">
        <v>493</v>
      </c>
      <c r="C186" s="117" t="s">
        <v>494</v>
      </c>
      <c r="D186" s="142">
        <v>46539</v>
      </c>
      <c r="E186" s="98">
        <v>270600</v>
      </c>
      <c r="F186" s="99">
        <v>45827</v>
      </c>
      <c r="G186" s="98">
        <v>7000</v>
      </c>
      <c r="H186" s="98">
        <v>7000</v>
      </c>
      <c r="I186" s="100">
        <v>858</v>
      </c>
      <c r="J186" s="123">
        <v>42</v>
      </c>
      <c r="K186" s="124">
        <f t="shared" si="9"/>
        <v>816</v>
      </c>
    </row>
    <row r="187" ht="4" hidden="1" customHeight="1" spans="1:44">
      <c r="A187" s="141"/>
      <c r="B187" s="117"/>
      <c r="C187" s="117"/>
      <c r="D187" s="142"/>
      <c r="E187" s="98"/>
      <c r="F187" s="107">
        <v>46216</v>
      </c>
      <c r="G187" s="106">
        <v>2000</v>
      </c>
      <c r="H187" s="106">
        <v>2000</v>
      </c>
      <c r="I187" s="122">
        <v>2000</v>
      </c>
      <c r="J187" s="122">
        <v>0</v>
      </c>
      <c r="K187" s="118">
        <v>2000</v>
      </c>
    </row>
    <row r="188" ht="14.25" spans="1:44">
      <c r="A188" s="84" t="s">
        <v>495</v>
      </c>
      <c r="B188" s="85" t="s">
        <v>496</v>
      </c>
      <c r="C188" s="85" t="s">
        <v>497</v>
      </c>
      <c r="D188" s="95"/>
      <c r="E188" s="80"/>
      <c r="F188" s="81"/>
      <c r="G188" s="80"/>
      <c r="H188" s="80"/>
      <c r="I188" s="86">
        <v>0</v>
      </c>
      <c r="J188" s="86">
        <v>0</v>
      </c>
      <c r="K188" s="87">
        <f t="shared" ref="K188:K201" si="10">I188-J188</f>
        <v>0</v>
      </c>
    </row>
    <row r="189" ht="14" customHeight="1" spans="1:44">
      <c r="A189" s="84" t="s">
        <v>498</v>
      </c>
      <c r="B189" s="85" t="s">
        <v>499</v>
      </c>
      <c r="C189" s="85" t="s">
        <v>500</v>
      </c>
      <c r="D189" s="80"/>
      <c r="E189" s="80"/>
      <c r="F189" s="81"/>
      <c r="G189" s="80"/>
      <c r="H189" s="80"/>
      <c r="I189" s="86">
        <v>0</v>
      </c>
      <c r="J189" s="86">
        <v>0</v>
      </c>
      <c r="K189" s="87">
        <f t="shared" si="10"/>
        <v>0</v>
      </c>
    </row>
    <row r="190" s="54" customFormat="1" ht="14.25" spans="1:44">
      <c r="A190" s="84" t="s">
        <v>501</v>
      </c>
      <c r="B190" s="85" t="s">
        <v>56</v>
      </c>
      <c r="C190" s="85" t="s">
        <v>502</v>
      </c>
      <c r="D190" s="80"/>
      <c r="E190" s="80"/>
      <c r="F190" s="80"/>
      <c r="G190" s="80"/>
      <c r="H190" s="80"/>
      <c r="I190" s="86">
        <v>0</v>
      </c>
      <c r="J190" s="86">
        <v>0</v>
      </c>
      <c r="K190" s="83">
        <f t="shared" si="10"/>
        <v>0</v>
      </c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  <c r="AA190" s="55"/>
      <c r="AB190" s="55"/>
      <c r="AC190" s="55"/>
      <c r="AD190" s="55"/>
      <c r="AE190" s="55"/>
      <c r="AF190" s="55"/>
      <c r="AG190" s="55"/>
      <c r="AH190" s="55"/>
      <c r="AI190" s="55"/>
      <c r="AJ190" s="55"/>
      <c r="AK190" s="55"/>
      <c r="AL190" s="55"/>
      <c r="AM190" s="55"/>
      <c r="AN190" s="55"/>
      <c r="AO190" s="55"/>
      <c r="AP190" s="55"/>
      <c r="AQ190" s="55"/>
      <c r="AR190" s="55"/>
    </row>
    <row r="191" ht="29" customHeight="1" spans="1:44">
      <c r="A191" s="96" t="s">
        <v>503</v>
      </c>
      <c r="B191" s="97" t="s">
        <v>504</v>
      </c>
      <c r="C191" s="97" t="s">
        <v>505</v>
      </c>
      <c r="D191" s="98" t="s">
        <v>198</v>
      </c>
      <c r="E191" s="98" t="s">
        <v>506</v>
      </c>
      <c r="F191" s="99">
        <v>45827</v>
      </c>
      <c r="G191" s="98">
        <v>1500</v>
      </c>
      <c r="H191" s="98">
        <v>1500</v>
      </c>
      <c r="I191" s="100">
        <v>1497</v>
      </c>
      <c r="J191" s="100">
        <v>0</v>
      </c>
      <c r="K191" s="101">
        <f t="shared" si="10"/>
        <v>1497</v>
      </c>
    </row>
    <row r="192" ht="25.5" spans="1:44">
      <c r="A192" s="96" t="s">
        <v>507</v>
      </c>
      <c r="B192" s="97" t="s">
        <v>508</v>
      </c>
      <c r="C192" s="97" t="s">
        <v>509</v>
      </c>
      <c r="D192" s="98" t="s">
        <v>191</v>
      </c>
      <c r="E192" s="98">
        <v>3</v>
      </c>
      <c r="F192" s="99">
        <v>45827</v>
      </c>
      <c r="G192" s="98">
        <v>1000</v>
      </c>
      <c r="H192" s="98">
        <v>1000</v>
      </c>
      <c r="I192" s="100">
        <v>1000</v>
      </c>
      <c r="J192" s="100">
        <v>0</v>
      </c>
      <c r="K192" s="101">
        <f t="shared" si="10"/>
        <v>1000</v>
      </c>
    </row>
    <row r="193" ht="14.25" spans="1:44">
      <c r="A193" s="77" t="s">
        <v>510</v>
      </c>
      <c r="B193" s="78" t="s">
        <v>511</v>
      </c>
      <c r="C193" s="78" t="s">
        <v>512</v>
      </c>
      <c r="D193" s="95"/>
      <c r="E193" s="80"/>
      <c r="F193" s="81"/>
      <c r="G193" s="80"/>
      <c r="H193" s="80"/>
      <c r="I193" s="82"/>
      <c r="J193" s="82">
        <v>0</v>
      </c>
      <c r="K193" s="83">
        <f t="shared" si="10"/>
        <v>0</v>
      </c>
    </row>
    <row r="194" customHeight="1" spans="1:44">
      <c r="A194" s="77" t="s">
        <v>513</v>
      </c>
      <c r="B194" s="78" t="s">
        <v>514</v>
      </c>
      <c r="C194" s="78" t="s">
        <v>515</v>
      </c>
      <c r="D194" s="102"/>
      <c r="E194" s="80"/>
      <c r="F194" s="81"/>
      <c r="G194" s="80"/>
      <c r="H194" s="80"/>
      <c r="I194" s="82">
        <v>0</v>
      </c>
      <c r="J194" s="82">
        <v>0</v>
      </c>
      <c r="K194" s="83">
        <f t="shared" si="10"/>
        <v>0</v>
      </c>
    </row>
    <row r="195" ht="25.5" spans="1:44">
      <c r="A195" s="77" t="s">
        <v>516</v>
      </c>
      <c r="B195" s="78" t="s">
        <v>517</v>
      </c>
      <c r="C195" s="78" t="s">
        <v>518</v>
      </c>
      <c r="D195" s="102"/>
      <c r="E195" s="80"/>
      <c r="F195" s="81"/>
      <c r="G195" s="80"/>
      <c r="H195" s="80"/>
      <c r="I195" s="82">
        <v>0</v>
      </c>
      <c r="J195" s="82">
        <v>0</v>
      </c>
      <c r="K195" s="83">
        <f t="shared" si="10"/>
        <v>0</v>
      </c>
    </row>
    <row r="196" ht="12" customHeight="1" spans="1:44">
      <c r="A196" s="96" t="s">
        <v>516</v>
      </c>
      <c r="B196" s="97" t="s">
        <v>519</v>
      </c>
      <c r="C196" s="97" t="s">
        <v>520</v>
      </c>
      <c r="D196" s="110">
        <v>46569</v>
      </c>
      <c r="E196" s="98">
        <v>2507018</v>
      </c>
      <c r="F196" s="99">
        <v>45968</v>
      </c>
      <c r="G196" s="98" t="s">
        <v>521</v>
      </c>
      <c r="H196" s="98" t="s">
        <v>521</v>
      </c>
      <c r="I196" s="100">
        <v>9110</v>
      </c>
      <c r="J196" s="100">
        <v>117</v>
      </c>
      <c r="K196" s="101">
        <f t="shared" si="10"/>
        <v>8993</v>
      </c>
    </row>
    <row r="197" s="54" customFormat="1" ht="14.25" spans="1:44">
      <c r="A197" s="84" t="s">
        <v>522</v>
      </c>
      <c r="B197" s="85" t="s">
        <v>523</v>
      </c>
      <c r="C197" s="85" t="s">
        <v>120</v>
      </c>
      <c r="D197" s="80"/>
      <c r="E197" s="80"/>
      <c r="F197" s="80"/>
      <c r="G197" s="80"/>
      <c r="H197" s="80"/>
      <c r="I197" s="86">
        <v>0</v>
      </c>
      <c r="J197" s="86">
        <v>0</v>
      </c>
      <c r="K197" s="83">
        <f t="shared" si="10"/>
        <v>0</v>
      </c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  <c r="AA197" s="55"/>
      <c r="AB197" s="55"/>
      <c r="AC197" s="55"/>
      <c r="AD197" s="55"/>
      <c r="AE197" s="55"/>
      <c r="AF197" s="55"/>
      <c r="AG197" s="55"/>
      <c r="AH197" s="55"/>
      <c r="AI197" s="55"/>
      <c r="AJ197" s="55"/>
      <c r="AK197" s="55"/>
      <c r="AL197" s="55"/>
      <c r="AM197" s="55"/>
      <c r="AN197" s="55"/>
      <c r="AO197" s="55"/>
      <c r="AP197" s="55"/>
      <c r="AQ197" s="55"/>
      <c r="AR197" s="55"/>
    </row>
    <row r="198" s="54" customFormat="1" ht="14.25" spans="1:44">
      <c r="A198" s="77" t="s">
        <v>524</v>
      </c>
      <c r="B198" s="78" t="s">
        <v>56</v>
      </c>
      <c r="C198" s="78"/>
      <c r="D198" s="80"/>
      <c r="E198" s="80"/>
      <c r="F198" s="81"/>
      <c r="G198" s="80"/>
      <c r="H198" s="80"/>
      <c r="I198" s="82">
        <v>0</v>
      </c>
      <c r="J198" s="82">
        <v>0</v>
      </c>
      <c r="K198" s="83">
        <f t="shared" si="10"/>
        <v>0</v>
      </c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  <c r="AA198" s="55"/>
      <c r="AB198" s="55"/>
      <c r="AC198" s="55"/>
      <c r="AD198" s="55"/>
      <c r="AE198" s="55"/>
      <c r="AF198" s="55"/>
      <c r="AG198" s="55"/>
      <c r="AH198" s="55"/>
      <c r="AI198" s="55"/>
      <c r="AJ198" s="55"/>
      <c r="AK198" s="55"/>
      <c r="AL198" s="55"/>
      <c r="AM198" s="55"/>
      <c r="AN198" s="55"/>
      <c r="AO198" s="55"/>
      <c r="AP198" s="55"/>
      <c r="AQ198" s="55"/>
      <c r="AR198" s="55"/>
    </row>
    <row r="199" ht="14.25" spans="1:44">
      <c r="A199" s="77" t="s">
        <v>524</v>
      </c>
      <c r="B199" s="78" t="s">
        <v>323</v>
      </c>
      <c r="C199" s="78" t="s">
        <v>120</v>
      </c>
      <c r="D199" s="80"/>
      <c r="E199" s="80"/>
      <c r="F199" s="81"/>
      <c r="G199" s="80"/>
      <c r="H199" s="80"/>
      <c r="I199" s="82">
        <v>0</v>
      </c>
      <c r="J199" s="82">
        <v>0</v>
      </c>
      <c r="K199" s="83">
        <f t="shared" si="10"/>
        <v>0</v>
      </c>
    </row>
    <row r="200" s="54" customFormat="1" ht="16" customHeight="1" spans="1:44">
      <c r="A200" s="84" t="s">
        <v>525</v>
      </c>
      <c r="B200" s="85" t="s">
        <v>526</v>
      </c>
      <c r="C200" s="85" t="s">
        <v>527</v>
      </c>
      <c r="D200" s="80"/>
      <c r="E200" s="80"/>
      <c r="F200" s="80"/>
      <c r="G200" s="80"/>
      <c r="H200" s="80"/>
      <c r="I200" s="86">
        <v>0</v>
      </c>
      <c r="J200" s="86">
        <v>0</v>
      </c>
      <c r="K200" s="83">
        <f t="shared" si="10"/>
        <v>0</v>
      </c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  <c r="AA200" s="55"/>
      <c r="AB200" s="55"/>
      <c r="AC200" s="55"/>
      <c r="AD200" s="55"/>
      <c r="AE200" s="55"/>
      <c r="AF200" s="55"/>
      <c r="AG200" s="55"/>
      <c r="AH200" s="55"/>
      <c r="AI200" s="55"/>
      <c r="AJ200" s="55"/>
      <c r="AK200" s="55"/>
      <c r="AL200" s="55"/>
      <c r="AM200" s="55"/>
      <c r="AN200" s="55"/>
      <c r="AO200" s="55"/>
      <c r="AP200" s="55"/>
      <c r="AQ200" s="55"/>
      <c r="AR200" s="55"/>
    </row>
    <row r="201" ht="16" customHeight="1" spans="1:44">
      <c r="A201" s="143" t="s">
        <v>525</v>
      </c>
      <c r="B201" s="144" t="s">
        <v>528</v>
      </c>
      <c r="C201" s="144"/>
      <c r="D201" s="145"/>
      <c r="E201" s="145"/>
      <c r="F201" s="146"/>
      <c r="G201" s="145"/>
      <c r="H201" s="145"/>
      <c r="I201" s="147">
        <v>0</v>
      </c>
      <c r="J201" s="147">
        <v>0</v>
      </c>
      <c r="K201" s="148">
        <f t="shared" si="10"/>
        <v>0</v>
      </c>
    </row>
    <row r="203" ht="21" spans="1:44">
      <c r="A203" s="149" t="s">
        <v>529</v>
      </c>
      <c r="B203" s="150"/>
      <c r="C203" s="150"/>
      <c r="D203" s="150"/>
      <c r="E203" s="150"/>
      <c r="F203" s="150"/>
      <c r="G203" s="150"/>
      <c r="H203" s="150"/>
      <c r="I203" s="150"/>
      <c r="J203" s="150"/>
      <c r="K203" s="151"/>
    </row>
    <row r="204" ht="33.75" spans="1:44">
      <c r="A204" s="67" t="s">
        <v>3</v>
      </c>
      <c r="B204" s="68" t="s">
        <v>4</v>
      </c>
      <c r="C204" s="68" t="s">
        <v>5</v>
      </c>
      <c r="D204" s="68" t="s">
        <v>6</v>
      </c>
      <c r="E204" s="68" t="s">
        <v>7</v>
      </c>
      <c r="F204" s="68" t="s">
        <v>8</v>
      </c>
      <c r="G204" s="68" t="s">
        <v>9</v>
      </c>
      <c r="H204" s="68" t="s">
        <v>10</v>
      </c>
      <c r="I204" s="68" t="s">
        <v>11</v>
      </c>
      <c r="J204" s="68" t="s">
        <v>12</v>
      </c>
      <c r="K204" s="69" t="s">
        <v>13</v>
      </c>
    </row>
    <row r="205" s="54" customFormat="1" ht="14.25" spans="1:44">
      <c r="A205" s="152" t="s">
        <v>530</v>
      </c>
      <c r="B205" s="153" t="s">
        <v>531</v>
      </c>
      <c r="C205" s="154" t="s">
        <v>532</v>
      </c>
      <c r="D205" s="73"/>
      <c r="E205" s="73"/>
      <c r="F205" s="73"/>
      <c r="G205" s="73"/>
      <c r="H205" s="73"/>
      <c r="I205" s="155">
        <v>0</v>
      </c>
      <c r="J205" s="155">
        <v>0</v>
      </c>
      <c r="K205" s="156">
        <f t="shared" ref="K205:K211" si="11">I205-J205</f>
        <v>0</v>
      </c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  <c r="AA205" s="55"/>
      <c r="AB205" s="55"/>
      <c r="AC205" s="55"/>
      <c r="AD205" s="55"/>
      <c r="AE205" s="55"/>
      <c r="AF205" s="55"/>
      <c r="AG205" s="55"/>
      <c r="AH205" s="55"/>
      <c r="AI205" s="55"/>
      <c r="AJ205" s="55"/>
      <c r="AK205" s="55"/>
      <c r="AL205" s="55"/>
      <c r="AM205" s="55"/>
      <c r="AN205" s="55"/>
      <c r="AO205" s="55"/>
      <c r="AP205" s="55"/>
      <c r="AQ205" s="55"/>
      <c r="AR205" s="55"/>
    </row>
    <row r="206" s="54" customFormat="1" ht="14.25" spans="1:44">
      <c r="A206" s="157" t="s">
        <v>533</v>
      </c>
      <c r="B206" s="158" t="s">
        <v>534</v>
      </c>
      <c r="C206" s="159" t="s">
        <v>349</v>
      </c>
      <c r="D206" s="80"/>
      <c r="E206" s="80"/>
      <c r="F206" s="80"/>
      <c r="G206" s="80"/>
      <c r="H206" s="80"/>
      <c r="I206" s="86">
        <v>0</v>
      </c>
      <c r="J206" s="86">
        <v>0</v>
      </c>
      <c r="K206" s="87">
        <f t="shared" si="11"/>
        <v>0</v>
      </c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  <c r="AA206" s="55"/>
      <c r="AB206" s="55"/>
      <c r="AC206" s="55"/>
      <c r="AD206" s="55"/>
      <c r="AE206" s="55"/>
      <c r="AF206" s="55"/>
      <c r="AG206" s="55"/>
      <c r="AH206" s="55"/>
      <c r="AI206" s="55"/>
      <c r="AJ206" s="55"/>
      <c r="AK206" s="55"/>
      <c r="AL206" s="55"/>
      <c r="AM206" s="55"/>
      <c r="AN206" s="55"/>
      <c r="AO206" s="55"/>
      <c r="AP206" s="55"/>
      <c r="AQ206" s="55"/>
      <c r="AR206" s="55"/>
    </row>
    <row r="207" s="54" customFormat="1" ht="12" customHeight="1" spans="1:44">
      <c r="A207" s="157" t="s">
        <v>535</v>
      </c>
      <c r="B207" s="158" t="s">
        <v>536</v>
      </c>
      <c r="C207" s="159" t="s">
        <v>537</v>
      </c>
      <c r="D207" s="80"/>
      <c r="E207" s="80"/>
      <c r="F207" s="80"/>
      <c r="G207" s="80"/>
      <c r="H207" s="80"/>
      <c r="I207" s="86">
        <v>0</v>
      </c>
      <c r="J207" s="86">
        <v>0</v>
      </c>
      <c r="K207" s="87">
        <f t="shared" si="11"/>
        <v>0</v>
      </c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  <c r="AA207" s="55"/>
      <c r="AB207" s="55"/>
      <c r="AC207" s="55"/>
      <c r="AD207" s="55"/>
      <c r="AE207" s="55"/>
      <c r="AF207" s="55"/>
      <c r="AG207" s="55"/>
      <c r="AH207" s="55"/>
      <c r="AI207" s="55"/>
      <c r="AJ207" s="55"/>
      <c r="AK207" s="55"/>
      <c r="AL207" s="55"/>
      <c r="AM207" s="55"/>
      <c r="AN207" s="55"/>
      <c r="AO207" s="55"/>
      <c r="AP207" s="55"/>
      <c r="AQ207" s="55"/>
      <c r="AR207" s="55"/>
    </row>
    <row r="208" s="54" customFormat="1" ht="14.25" spans="1:44">
      <c r="A208" s="157" t="s">
        <v>538</v>
      </c>
      <c r="B208" s="158" t="s">
        <v>539</v>
      </c>
      <c r="C208" s="159" t="s">
        <v>540</v>
      </c>
      <c r="D208" s="80"/>
      <c r="E208" s="80"/>
      <c r="F208" s="80"/>
      <c r="G208" s="80"/>
      <c r="H208" s="80"/>
      <c r="I208" s="86">
        <v>0</v>
      </c>
      <c r="J208" s="86">
        <v>0</v>
      </c>
      <c r="K208" s="87">
        <f t="shared" si="11"/>
        <v>0</v>
      </c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  <c r="AA208" s="55"/>
      <c r="AB208" s="55"/>
      <c r="AC208" s="55"/>
      <c r="AD208" s="55"/>
      <c r="AE208" s="55"/>
      <c r="AF208" s="55"/>
      <c r="AG208" s="55"/>
      <c r="AH208" s="55"/>
      <c r="AI208" s="55"/>
      <c r="AJ208" s="55"/>
      <c r="AK208" s="55"/>
      <c r="AL208" s="55"/>
      <c r="AM208" s="55"/>
      <c r="AN208" s="55"/>
      <c r="AO208" s="55"/>
      <c r="AP208" s="55"/>
      <c r="AQ208" s="55"/>
      <c r="AR208" s="55"/>
    </row>
    <row r="209" s="54" customFormat="1" ht="13" customHeight="1" spans="1:44">
      <c r="A209" s="157" t="s">
        <v>541</v>
      </c>
      <c r="B209" s="158" t="s">
        <v>542</v>
      </c>
      <c r="C209" s="159" t="s">
        <v>543</v>
      </c>
      <c r="D209" s="95"/>
      <c r="E209" s="80"/>
      <c r="F209" s="80"/>
      <c r="G209" s="80"/>
      <c r="H209" s="80"/>
      <c r="I209" s="86">
        <v>0</v>
      </c>
      <c r="J209" s="86">
        <v>0</v>
      </c>
      <c r="K209" s="87">
        <f t="shared" si="11"/>
        <v>0</v>
      </c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  <c r="AA209" s="55"/>
      <c r="AB209" s="55"/>
      <c r="AC209" s="55"/>
      <c r="AD209" s="55"/>
      <c r="AE209" s="55"/>
      <c r="AF209" s="55"/>
      <c r="AG209" s="55"/>
      <c r="AH209" s="55"/>
      <c r="AI209" s="55"/>
      <c r="AJ209" s="55"/>
      <c r="AK209" s="55"/>
      <c r="AL209" s="55"/>
      <c r="AM209" s="55"/>
      <c r="AN209" s="55"/>
      <c r="AO209" s="55"/>
      <c r="AP209" s="55"/>
      <c r="AQ209" s="55"/>
      <c r="AR209" s="55"/>
    </row>
    <row r="210" ht="14.25" spans="1:44">
      <c r="A210" s="160" t="s">
        <v>544</v>
      </c>
      <c r="B210" s="159" t="s">
        <v>545</v>
      </c>
      <c r="C210" s="159"/>
      <c r="D210" s="80"/>
      <c r="E210" s="80"/>
      <c r="F210" s="81"/>
      <c r="G210" s="80"/>
      <c r="H210" s="80"/>
      <c r="I210" s="82">
        <v>0</v>
      </c>
      <c r="J210" s="82">
        <v>0</v>
      </c>
      <c r="K210" s="87">
        <f t="shared" si="11"/>
        <v>0</v>
      </c>
    </row>
    <row r="211" s="54" customFormat="1" customHeight="1" spans="1:44">
      <c r="A211" s="161" t="s">
        <v>546</v>
      </c>
      <c r="B211" s="162" t="s">
        <v>547</v>
      </c>
      <c r="C211" s="163" t="s">
        <v>548</v>
      </c>
      <c r="D211" s="145"/>
      <c r="E211" s="145"/>
      <c r="F211" s="146"/>
      <c r="G211" s="145"/>
      <c r="H211" s="145"/>
      <c r="I211" s="164">
        <v>0</v>
      </c>
      <c r="J211" s="164">
        <v>0</v>
      </c>
      <c r="K211" s="165">
        <f t="shared" si="11"/>
        <v>0</v>
      </c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  <c r="AA211" s="55"/>
      <c r="AB211" s="55"/>
      <c r="AC211" s="55"/>
      <c r="AD211" s="55"/>
      <c r="AE211" s="55"/>
      <c r="AF211" s="55"/>
      <c r="AG211" s="55"/>
      <c r="AH211" s="55"/>
      <c r="AI211" s="55"/>
      <c r="AJ211" s="55"/>
      <c r="AK211" s="55"/>
      <c r="AL211" s="55"/>
      <c r="AM211" s="55"/>
      <c r="AN211" s="55"/>
      <c r="AO211" s="55"/>
      <c r="AP211" s="55"/>
      <c r="AQ211" s="55"/>
      <c r="AR211" s="55"/>
    </row>
    <row r="213" ht="21" spans="1:44">
      <c r="A213" s="166" t="s">
        <v>549</v>
      </c>
      <c r="B213" s="167"/>
      <c r="C213" s="167"/>
      <c r="D213" s="167"/>
      <c r="E213" s="167"/>
      <c r="F213" s="167"/>
      <c r="G213" s="167"/>
      <c r="H213" s="167"/>
      <c r="I213" s="167"/>
      <c r="J213" s="167"/>
      <c r="K213" s="168"/>
    </row>
    <row r="214" ht="33.75" spans="1:44">
      <c r="A214" s="67" t="s">
        <v>3</v>
      </c>
      <c r="B214" s="68" t="s">
        <v>4</v>
      </c>
      <c r="C214" s="68" t="s">
        <v>5</v>
      </c>
      <c r="D214" s="68" t="s">
        <v>6</v>
      </c>
      <c r="E214" s="68" t="s">
        <v>7</v>
      </c>
      <c r="F214" s="68" t="s">
        <v>8</v>
      </c>
      <c r="G214" s="68" t="s">
        <v>9</v>
      </c>
      <c r="H214" s="68" t="s">
        <v>10</v>
      </c>
      <c r="I214" s="68" t="s">
        <v>11</v>
      </c>
      <c r="J214" s="68" t="s">
        <v>12</v>
      </c>
      <c r="K214" s="69" t="s">
        <v>13</v>
      </c>
    </row>
    <row r="215" ht="12" customHeight="1" spans="1:44">
      <c r="A215" s="70" t="s">
        <v>550</v>
      </c>
      <c r="B215" s="71" t="s">
        <v>551</v>
      </c>
      <c r="C215" s="154" t="s">
        <v>552</v>
      </c>
      <c r="D215" s="169"/>
      <c r="E215" s="73"/>
      <c r="F215" s="74"/>
      <c r="G215" s="73"/>
      <c r="H215" s="73"/>
      <c r="I215" s="75">
        <v>0</v>
      </c>
      <c r="J215" s="75">
        <v>0</v>
      </c>
      <c r="K215" s="76">
        <v>0</v>
      </c>
    </row>
    <row r="216" ht="25" customHeight="1" spans="1:44">
      <c r="A216" s="77" t="s">
        <v>553</v>
      </c>
      <c r="B216" s="78" t="s">
        <v>554</v>
      </c>
      <c r="C216" s="78" t="s">
        <v>555</v>
      </c>
      <c r="D216" s="95"/>
      <c r="E216" s="80"/>
      <c r="F216" s="81"/>
      <c r="G216" s="80"/>
      <c r="H216" s="80"/>
      <c r="I216" s="82">
        <v>0</v>
      </c>
      <c r="J216" s="82">
        <v>0</v>
      </c>
      <c r="K216" s="170">
        <f t="shared" ref="K216:K228" si="12">I216-J216</f>
        <v>0</v>
      </c>
    </row>
    <row r="217" ht="26" customHeight="1" spans="1:44">
      <c r="A217" s="160" t="s">
        <v>556</v>
      </c>
      <c r="B217" s="159" t="s">
        <v>557</v>
      </c>
      <c r="C217" s="159" t="s">
        <v>558</v>
      </c>
      <c r="D217" s="79"/>
      <c r="E217" s="80"/>
      <c r="F217" s="81"/>
      <c r="G217" s="80"/>
      <c r="H217" s="80"/>
      <c r="I217" s="113">
        <v>0</v>
      </c>
      <c r="J217" s="113">
        <v>0</v>
      </c>
      <c r="K217" s="114">
        <f t="shared" si="12"/>
        <v>0</v>
      </c>
    </row>
    <row r="218" ht="14.25" spans="1:44">
      <c r="A218" s="157" t="s">
        <v>559</v>
      </c>
      <c r="B218" s="158" t="s">
        <v>560</v>
      </c>
      <c r="C218" s="158" t="s">
        <v>561</v>
      </c>
      <c r="D218" s="80"/>
      <c r="E218" s="80"/>
      <c r="F218" s="80"/>
      <c r="G218" s="80"/>
      <c r="H218" s="80"/>
      <c r="I218" s="86">
        <v>0</v>
      </c>
      <c r="J218" s="86">
        <v>0</v>
      </c>
      <c r="K218" s="170">
        <f t="shared" si="12"/>
        <v>0</v>
      </c>
    </row>
    <row r="219" customHeight="1" spans="1:44">
      <c r="A219" s="77" t="s">
        <v>562</v>
      </c>
      <c r="B219" s="78" t="s">
        <v>563</v>
      </c>
      <c r="C219" s="78" t="s">
        <v>564</v>
      </c>
      <c r="D219" s="78"/>
      <c r="E219" s="78"/>
      <c r="F219" s="81"/>
      <c r="G219" s="80"/>
      <c r="H219" s="80"/>
      <c r="I219" s="82">
        <v>0</v>
      </c>
      <c r="J219" s="82">
        <v>0</v>
      </c>
      <c r="K219" s="171">
        <f t="shared" si="12"/>
        <v>0</v>
      </c>
    </row>
    <row r="220" ht="25.5" spans="1:44">
      <c r="A220" s="160" t="s">
        <v>565</v>
      </c>
      <c r="B220" s="127" t="s">
        <v>566</v>
      </c>
      <c r="C220" s="159" t="s">
        <v>567</v>
      </c>
      <c r="D220" s="95"/>
      <c r="E220" s="80"/>
      <c r="F220" s="81"/>
      <c r="G220" s="80"/>
      <c r="H220" s="80"/>
      <c r="I220" s="82">
        <v>0</v>
      </c>
      <c r="J220" s="82">
        <v>0</v>
      </c>
      <c r="K220" s="83">
        <f t="shared" si="12"/>
        <v>0</v>
      </c>
    </row>
    <row r="221" s="54" customFormat="1" ht="18" customHeight="1" spans="1:44">
      <c r="A221" s="157" t="s">
        <v>568</v>
      </c>
      <c r="B221" s="158" t="s">
        <v>569</v>
      </c>
      <c r="C221" s="158" t="s">
        <v>570</v>
      </c>
      <c r="D221" s="80"/>
      <c r="E221" s="80"/>
      <c r="F221" s="80"/>
      <c r="G221" s="80"/>
      <c r="H221" s="80"/>
      <c r="I221" s="82">
        <v>0</v>
      </c>
      <c r="J221" s="86">
        <v>0</v>
      </c>
      <c r="K221" s="83">
        <f t="shared" si="12"/>
        <v>0</v>
      </c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  <c r="AA221" s="55"/>
      <c r="AB221" s="55"/>
      <c r="AC221" s="55"/>
      <c r="AD221" s="55"/>
      <c r="AE221" s="55"/>
      <c r="AF221" s="55"/>
      <c r="AG221" s="55"/>
      <c r="AH221" s="55"/>
      <c r="AI221" s="55"/>
      <c r="AJ221" s="55"/>
      <c r="AK221" s="55"/>
      <c r="AL221" s="55"/>
      <c r="AM221" s="55"/>
      <c r="AN221" s="55"/>
      <c r="AO221" s="55"/>
      <c r="AP221" s="55"/>
      <c r="AQ221" s="55"/>
      <c r="AR221" s="55"/>
    </row>
    <row r="222" ht="14.25" spans="1:44">
      <c r="A222" s="77" t="s">
        <v>571</v>
      </c>
      <c r="B222" s="78" t="s">
        <v>572</v>
      </c>
      <c r="C222" s="159" t="s">
        <v>573</v>
      </c>
      <c r="D222" s="80"/>
      <c r="E222" s="80"/>
      <c r="F222" s="81"/>
      <c r="G222" s="80"/>
      <c r="H222" s="80"/>
      <c r="I222" s="82">
        <v>0</v>
      </c>
      <c r="J222" s="82">
        <v>0</v>
      </c>
      <c r="K222" s="170">
        <f t="shared" si="12"/>
        <v>0</v>
      </c>
    </row>
    <row r="223" customHeight="1" spans="1:44">
      <c r="A223" s="160" t="s">
        <v>418</v>
      </c>
      <c r="B223" s="159" t="s">
        <v>574</v>
      </c>
      <c r="C223" s="159" t="s">
        <v>575</v>
      </c>
      <c r="D223" s="80"/>
      <c r="E223" s="80"/>
      <c r="F223" s="81"/>
      <c r="G223" s="80"/>
      <c r="H223" s="80"/>
      <c r="I223" s="82">
        <v>0</v>
      </c>
      <c r="J223" s="82">
        <v>0</v>
      </c>
      <c r="K223" s="170">
        <f t="shared" si="12"/>
        <v>0</v>
      </c>
    </row>
    <row r="224" spans="1:44">
      <c r="A224" s="160" t="s">
        <v>576</v>
      </c>
      <c r="B224" s="159" t="s">
        <v>577</v>
      </c>
      <c r="C224" s="159" t="s">
        <v>578</v>
      </c>
      <c r="D224" s="95">
        <v>46813</v>
      </c>
      <c r="E224" s="80" t="s">
        <v>579</v>
      </c>
      <c r="F224" s="81">
        <v>46281</v>
      </c>
      <c r="G224" s="80">
        <v>11</v>
      </c>
      <c r="H224" s="80">
        <v>11</v>
      </c>
      <c r="I224" s="82">
        <v>1</v>
      </c>
      <c r="J224" s="82">
        <v>1</v>
      </c>
      <c r="K224" s="170">
        <f t="shared" si="12"/>
        <v>0</v>
      </c>
    </row>
    <row r="225" spans="1:44">
      <c r="A225" s="96" t="s">
        <v>580</v>
      </c>
      <c r="B225" s="97" t="s">
        <v>581</v>
      </c>
      <c r="C225" s="172" t="s">
        <v>582</v>
      </c>
      <c r="D225" s="98"/>
      <c r="E225" s="98"/>
      <c r="F225" s="99">
        <v>45876</v>
      </c>
      <c r="G225" s="98">
        <v>400</v>
      </c>
      <c r="H225" s="98">
        <v>400</v>
      </c>
      <c r="I225" s="100">
        <v>313</v>
      </c>
      <c r="J225" s="100">
        <v>4</v>
      </c>
      <c r="K225" s="101">
        <f t="shared" si="12"/>
        <v>309</v>
      </c>
    </row>
    <row r="226" spans="1:44">
      <c r="A226" s="103" t="s">
        <v>583</v>
      </c>
      <c r="B226" s="104" t="s">
        <v>584</v>
      </c>
      <c r="C226" s="104" t="s">
        <v>585</v>
      </c>
      <c r="D226" s="106" t="s">
        <v>586</v>
      </c>
      <c r="E226" s="106" t="s">
        <v>587</v>
      </c>
      <c r="F226" s="107"/>
      <c r="G226" s="106">
        <v>30</v>
      </c>
      <c r="H226" s="106">
        <v>30</v>
      </c>
      <c r="I226" s="108">
        <v>20</v>
      </c>
      <c r="J226" s="108">
        <v>1</v>
      </c>
      <c r="K226" s="173">
        <f t="shared" si="12"/>
        <v>19</v>
      </c>
    </row>
    <row r="227" s="54" customFormat="1" ht="14.25" spans="1:44">
      <c r="A227" s="157" t="s">
        <v>588</v>
      </c>
      <c r="B227" s="158" t="s">
        <v>589</v>
      </c>
      <c r="C227" s="158" t="s">
        <v>590</v>
      </c>
      <c r="D227" s="111"/>
      <c r="E227" s="111"/>
      <c r="F227" s="112"/>
      <c r="G227" s="111"/>
      <c r="H227" s="111"/>
      <c r="I227" s="82">
        <v>0</v>
      </c>
      <c r="J227" s="86">
        <v>0</v>
      </c>
      <c r="K227" s="83">
        <f t="shared" si="12"/>
        <v>0</v>
      </c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  <c r="AA227" s="55"/>
      <c r="AB227" s="55"/>
      <c r="AC227" s="55"/>
      <c r="AD227" s="55"/>
      <c r="AE227" s="55"/>
      <c r="AF227" s="55"/>
      <c r="AG227" s="55"/>
      <c r="AH227" s="55"/>
      <c r="AI227" s="55"/>
      <c r="AJ227" s="55"/>
      <c r="AK227" s="55"/>
      <c r="AL227" s="55"/>
      <c r="AM227" s="55"/>
      <c r="AN227" s="55"/>
      <c r="AO227" s="55"/>
      <c r="AP227" s="55"/>
      <c r="AQ227" s="55"/>
      <c r="AR227" s="55"/>
    </row>
    <row r="228" ht="18" customHeight="1" spans="1:44">
      <c r="A228" s="174" t="s">
        <v>591</v>
      </c>
      <c r="B228" s="163" t="s">
        <v>592</v>
      </c>
      <c r="C228" s="163" t="s">
        <v>593</v>
      </c>
      <c r="D228" s="175"/>
      <c r="E228" s="145"/>
      <c r="F228" s="146"/>
      <c r="G228" s="145"/>
      <c r="H228" s="145"/>
      <c r="I228" s="147">
        <v>0</v>
      </c>
      <c r="J228" s="147">
        <v>0</v>
      </c>
      <c r="K228" s="148">
        <f t="shared" si="12"/>
        <v>0</v>
      </c>
    </row>
    <row r="230" ht="21" spans="1:44">
      <c r="A230" s="166" t="s">
        <v>594</v>
      </c>
      <c r="B230" s="167"/>
      <c r="C230" s="167"/>
      <c r="D230" s="167"/>
      <c r="E230" s="167"/>
      <c r="F230" s="167"/>
      <c r="G230" s="167"/>
      <c r="H230" s="167"/>
      <c r="I230" s="167"/>
      <c r="J230" s="167"/>
      <c r="K230" s="168"/>
    </row>
    <row r="231" ht="33.75" spans="1:44">
      <c r="A231" s="67" t="s">
        <v>3</v>
      </c>
      <c r="B231" s="68" t="s">
        <v>4</v>
      </c>
      <c r="C231" s="68" t="s">
        <v>5</v>
      </c>
      <c r="D231" s="68" t="s">
        <v>6</v>
      </c>
      <c r="E231" s="68" t="s">
        <v>7</v>
      </c>
      <c r="F231" s="68" t="s">
        <v>8</v>
      </c>
      <c r="G231" s="68" t="s">
        <v>9</v>
      </c>
      <c r="H231" s="68" t="s">
        <v>10</v>
      </c>
      <c r="I231" s="68" t="s">
        <v>11</v>
      </c>
      <c r="J231" s="68" t="s">
        <v>12</v>
      </c>
      <c r="K231" s="69" t="s">
        <v>13</v>
      </c>
    </row>
    <row r="232" s="55" customFormat="1" ht="26" customHeight="1" spans="1:44">
      <c r="A232" s="176" t="s">
        <v>595</v>
      </c>
      <c r="B232" s="177" t="s">
        <v>596</v>
      </c>
      <c r="C232" s="178" t="s">
        <v>349</v>
      </c>
      <c r="D232" s="73"/>
      <c r="E232" s="73"/>
      <c r="F232" s="73"/>
      <c r="G232" s="73"/>
      <c r="H232" s="73"/>
      <c r="I232" s="155">
        <v>0</v>
      </c>
      <c r="J232" s="155">
        <v>0</v>
      </c>
      <c r="K232" s="156">
        <v>0</v>
      </c>
    </row>
    <row r="233" s="54" customFormat="1" ht="14.25" spans="1:44">
      <c r="A233" s="84" t="s">
        <v>597</v>
      </c>
      <c r="B233" s="85" t="s">
        <v>598</v>
      </c>
      <c r="C233" s="179" t="s">
        <v>349</v>
      </c>
      <c r="D233" s="95"/>
      <c r="E233" s="80"/>
      <c r="F233" s="81"/>
      <c r="G233" s="80"/>
      <c r="H233" s="80"/>
      <c r="I233" s="86">
        <v>0</v>
      </c>
      <c r="J233" s="86">
        <v>0</v>
      </c>
      <c r="K233" s="87">
        <f t="shared" ref="K233:K239" si="13">I233-J233</f>
        <v>0</v>
      </c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  <c r="AA233" s="55"/>
      <c r="AB233" s="55"/>
      <c r="AC233" s="55"/>
      <c r="AD233" s="55"/>
      <c r="AE233" s="55"/>
      <c r="AF233" s="55"/>
      <c r="AG233" s="55"/>
      <c r="AH233" s="55"/>
      <c r="AI233" s="55"/>
      <c r="AJ233" s="55"/>
      <c r="AK233" s="55"/>
      <c r="AL233" s="55"/>
      <c r="AM233" s="55"/>
      <c r="AN233" s="55"/>
      <c r="AO233" s="55"/>
      <c r="AP233" s="55"/>
      <c r="AQ233" s="55"/>
      <c r="AR233" s="55"/>
    </row>
    <row r="234" s="54" customFormat="1" ht="14.25" spans="1:44">
      <c r="A234" s="84" t="s">
        <v>599</v>
      </c>
      <c r="B234" s="85" t="s">
        <v>596</v>
      </c>
      <c r="C234" s="179" t="s">
        <v>349</v>
      </c>
      <c r="D234" s="80"/>
      <c r="E234" s="80"/>
      <c r="F234" s="80"/>
      <c r="G234" s="80"/>
      <c r="H234" s="80"/>
      <c r="I234" s="86">
        <v>0</v>
      </c>
      <c r="J234" s="86">
        <v>0</v>
      </c>
      <c r="K234" s="83">
        <f t="shared" si="13"/>
        <v>0</v>
      </c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  <c r="AA234" s="55"/>
      <c r="AB234" s="55"/>
      <c r="AC234" s="55"/>
      <c r="AD234" s="55"/>
      <c r="AE234" s="55"/>
      <c r="AF234" s="55"/>
      <c r="AG234" s="55"/>
      <c r="AH234" s="55"/>
      <c r="AI234" s="55"/>
      <c r="AJ234" s="55"/>
      <c r="AK234" s="55"/>
      <c r="AL234" s="55"/>
      <c r="AM234" s="55"/>
      <c r="AN234" s="55"/>
      <c r="AO234" s="55"/>
      <c r="AP234" s="55"/>
      <c r="AQ234" s="55"/>
      <c r="AR234" s="55"/>
    </row>
    <row r="235" s="54" customFormat="1" ht="11" customHeight="1" spans="1:44">
      <c r="A235" s="77" t="s">
        <v>600</v>
      </c>
      <c r="B235" s="78" t="s">
        <v>596</v>
      </c>
      <c r="C235" s="179" t="s">
        <v>349</v>
      </c>
      <c r="D235" s="95"/>
      <c r="E235" s="80"/>
      <c r="F235" s="81"/>
      <c r="G235" s="80"/>
      <c r="H235" s="80"/>
      <c r="I235" s="82">
        <v>0</v>
      </c>
      <c r="J235" s="82">
        <v>0</v>
      </c>
      <c r="K235" s="83">
        <f t="shared" si="13"/>
        <v>0</v>
      </c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  <c r="AA235" s="55"/>
      <c r="AB235" s="55"/>
      <c r="AC235" s="55"/>
      <c r="AD235" s="55"/>
      <c r="AE235" s="55"/>
      <c r="AF235" s="55"/>
      <c r="AG235" s="55"/>
      <c r="AH235" s="55"/>
      <c r="AI235" s="55"/>
      <c r="AJ235" s="55"/>
      <c r="AK235" s="55"/>
      <c r="AL235" s="55"/>
      <c r="AM235" s="55"/>
      <c r="AN235" s="55"/>
      <c r="AO235" s="55"/>
      <c r="AP235" s="55"/>
      <c r="AQ235" s="55"/>
      <c r="AR235" s="55"/>
    </row>
    <row r="236" s="54" customFormat="1" ht="14.25" spans="1:44">
      <c r="A236" s="180" t="s">
        <v>601</v>
      </c>
      <c r="B236" s="121" t="s">
        <v>596</v>
      </c>
      <c r="C236" s="181" t="s">
        <v>349</v>
      </c>
      <c r="D236" s="106"/>
      <c r="E236" s="106"/>
      <c r="F236" s="107">
        <v>46195</v>
      </c>
      <c r="G236" s="106">
        <v>96</v>
      </c>
      <c r="H236" s="106">
        <v>96</v>
      </c>
      <c r="I236" s="122">
        <v>40</v>
      </c>
      <c r="J236" s="122">
        <v>4</v>
      </c>
      <c r="K236" s="109">
        <f t="shared" si="13"/>
        <v>36</v>
      </c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  <c r="AA236" s="55"/>
      <c r="AB236" s="55"/>
      <c r="AC236" s="55"/>
      <c r="AD236" s="55"/>
      <c r="AE236" s="55"/>
      <c r="AF236" s="55"/>
      <c r="AG236" s="55"/>
      <c r="AH236" s="55"/>
      <c r="AI236" s="55"/>
      <c r="AJ236" s="55"/>
      <c r="AK236" s="55"/>
      <c r="AL236" s="55"/>
      <c r="AM236" s="55"/>
      <c r="AN236" s="55"/>
      <c r="AO236" s="55"/>
      <c r="AP236" s="55"/>
      <c r="AQ236" s="55"/>
      <c r="AR236" s="55"/>
    </row>
    <row r="237" s="54" customFormat="1" ht="14.25" spans="1:44">
      <c r="A237" s="103" t="s">
        <v>602</v>
      </c>
      <c r="B237" s="104" t="s">
        <v>596</v>
      </c>
      <c r="C237" s="181" t="s">
        <v>349</v>
      </c>
      <c r="D237" s="105">
        <v>46813</v>
      </c>
      <c r="E237" s="106">
        <v>111634</v>
      </c>
      <c r="F237" s="107">
        <v>46196</v>
      </c>
      <c r="G237" s="106">
        <v>60</v>
      </c>
      <c r="H237" s="106">
        <v>60</v>
      </c>
      <c r="I237" s="108">
        <v>44</v>
      </c>
      <c r="J237" s="108">
        <v>2</v>
      </c>
      <c r="K237" s="109">
        <f t="shared" si="13"/>
        <v>42</v>
      </c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  <c r="AA237" s="55"/>
      <c r="AB237" s="55"/>
      <c r="AC237" s="55"/>
      <c r="AD237" s="55"/>
      <c r="AE237" s="55"/>
      <c r="AF237" s="55"/>
      <c r="AG237" s="55"/>
      <c r="AH237" s="55"/>
      <c r="AI237" s="55"/>
      <c r="AJ237" s="55"/>
      <c r="AK237" s="55"/>
      <c r="AL237" s="55"/>
      <c r="AM237" s="55"/>
      <c r="AN237" s="55"/>
      <c r="AO237" s="55"/>
      <c r="AP237" s="55"/>
      <c r="AQ237" s="55"/>
      <c r="AR237" s="55"/>
    </row>
    <row r="238" s="54" customFormat="1" ht="14.25" spans="1:44">
      <c r="A238" s="180" t="s">
        <v>603</v>
      </c>
      <c r="B238" s="121" t="s">
        <v>596</v>
      </c>
      <c r="C238" s="181" t="s">
        <v>349</v>
      </c>
      <c r="D238" s="106" t="s">
        <v>586</v>
      </c>
      <c r="E238" s="321" t="s">
        <v>604</v>
      </c>
      <c r="F238" s="107">
        <v>46254</v>
      </c>
      <c r="G238" s="106">
        <v>120</v>
      </c>
      <c r="H238" s="106">
        <v>120</v>
      </c>
      <c r="I238" s="122">
        <v>97</v>
      </c>
      <c r="J238" s="122">
        <v>2</v>
      </c>
      <c r="K238" s="109">
        <f t="shared" si="13"/>
        <v>95</v>
      </c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  <c r="AA238" s="55"/>
      <c r="AB238" s="55"/>
      <c r="AC238" s="55"/>
      <c r="AD238" s="55"/>
      <c r="AE238" s="55"/>
      <c r="AF238" s="55"/>
      <c r="AG238" s="55"/>
      <c r="AH238" s="55"/>
      <c r="AI238" s="55"/>
      <c r="AJ238" s="55"/>
      <c r="AK238" s="55"/>
      <c r="AL238" s="55"/>
      <c r="AM238" s="55"/>
      <c r="AN238" s="55"/>
      <c r="AO238" s="55"/>
      <c r="AP238" s="55"/>
      <c r="AQ238" s="55"/>
      <c r="AR238" s="55"/>
    </row>
    <row r="239" s="54" customFormat="1" ht="14.25" spans="1:44">
      <c r="A239" s="84" t="s">
        <v>605</v>
      </c>
      <c r="B239" s="85" t="s">
        <v>598</v>
      </c>
      <c r="C239" s="179" t="s">
        <v>349</v>
      </c>
      <c r="D239" s="80"/>
      <c r="E239" s="80"/>
      <c r="F239" s="80"/>
      <c r="G239" s="80"/>
      <c r="H239" s="80"/>
      <c r="I239" s="86">
        <v>0</v>
      </c>
      <c r="J239" s="86">
        <v>0</v>
      </c>
      <c r="K239" s="87">
        <f t="shared" si="13"/>
        <v>0</v>
      </c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  <c r="AA239" s="55"/>
      <c r="AB239" s="55"/>
      <c r="AC239" s="55"/>
      <c r="AD239" s="55"/>
      <c r="AE239" s="55"/>
      <c r="AF239" s="55"/>
      <c r="AG239" s="55"/>
      <c r="AH239" s="55"/>
      <c r="AI239" s="55"/>
      <c r="AJ239" s="55"/>
      <c r="AK239" s="55"/>
      <c r="AL239" s="55"/>
      <c r="AM239" s="55"/>
      <c r="AN239" s="55"/>
      <c r="AO239" s="55"/>
      <c r="AP239" s="55"/>
      <c r="AQ239" s="55"/>
      <c r="AR239" s="55"/>
    </row>
    <row r="240" ht="14" customHeight="1" spans="1:44">
      <c r="A240" s="77" t="s">
        <v>606</v>
      </c>
      <c r="B240" s="78" t="s">
        <v>596</v>
      </c>
      <c r="C240" s="179" t="s">
        <v>349</v>
      </c>
      <c r="D240" s="79" t="s">
        <v>607</v>
      </c>
      <c r="E240" s="80"/>
      <c r="F240" s="81"/>
      <c r="G240" s="80"/>
      <c r="H240" s="80"/>
      <c r="I240" s="82">
        <v>0</v>
      </c>
      <c r="J240" s="82">
        <v>0</v>
      </c>
      <c r="K240" s="83">
        <v>0</v>
      </c>
    </row>
    <row r="241" s="54" customFormat="1" ht="14.25" spans="1:44">
      <c r="A241" s="77" t="s">
        <v>608</v>
      </c>
      <c r="B241" s="78" t="s">
        <v>609</v>
      </c>
      <c r="C241" s="179" t="s">
        <v>349</v>
      </c>
      <c r="D241" s="95"/>
      <c r="E241" s="80"/>
      <c r="F241" s="81"/>
      <c r="G241" s="80"/>
      <c r="H241" s="80"/>
      <c r="I241" s="86">
        <v>0</v>
      </c>
      <c r="J241" s="82">
        <v>0</v>
      </c>
      <c r="K241" s="87">
        <f t="shared" ref="K241:K246" si="14">I241-J241</f>
        <v>0</v>
      </c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  <c r="AA241" s="55"/>
      <c r="AB241" s="55"/>
      <c r="AC241" s="55"/>
      <c r="AD241" s="55"/>
      <c r="AE241" s="55"/>
      <c r="AF241" s="55"/>
      <c r="AG241" s="55"/>
      <c r="AH241" s="55"/>
      <c r="AI241" s="55"/>
      <c r="AJ241" s="55"/>
      <c r="AK241" s="55"/>
      <c r="AL241" s="55"/>
      <c r="AM241" s="55"/>
      <c r="AN241" s="55"/>
      <c r="AO241" s="55"/>
      <c r="AP241" s="55"/>
      <c r="AQ241" s="55"/>
      <c r="AR241" s="55"/>
    </row>
    <row r="242" ht="14.25" spans="1:44">
      <c r="A242" s="77" t="s">
        <v>610</v>
      </c>
      <c r="B242" s="78" t="s">
        <v>609</v>
      </c>
      <c r="C242" s="179" t="s">
        <v>349</v>
      </c>
      <c r="D242" s="80"/>
      <c r="E242" s="80"/>
      <c r="F242" s="81"/>
      <c r="G242" s="80"/>
      <c r="H242" s="80"/>
      <c r="I242" s="86">
        <v>0</v>
      </c>
      <c r="J242" s="82">
        <v>0</v>
      </c>
      <c r="K242" s="87">
        <f t="shared" si="14"/>
        <v>0</v>
      </c>
    </row>
    <row r="243" s="54" customFormat="1" ht="14.25" spans="1:44">
      <c r="A243" s="84" t="s">
        <v>611</v>
      </c>
      <c r="B243" s="78" t="s">
        <v>609</v>
      </c>
      <c r="C243" s="179" t="s">
        <v>349</v>
      </c>
      <c r="D243" s="80"/>
      <c r="E243" s="80"/>
      <c r="F243" s="80"/>
      <c r="G243" s="80"/>
      <c r="H243" s="80"/>
      <c r="I243" s="86">
        <v>0</v>
      </c>
      <c r="J243" s="86">
        <v>0</v>
      </c>
      <c r="K243" s="87">
        <f t="shared" si="14"/>
        <v>0</v>
      </c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  <c r="AA243" s="55"/>
      <c r="AB243" s="55"/>
      <c r="AC243" s="55"/>
      <c r="AD243" s="55"/>
      <c r="AE243" s="55"/>
      <c r="AF243" s="55"/>
      <c r="AG243" s="55"/>
      <c r="AH243" s="55"/>
      <c r="AI243" s="55"/>
      <c r="AJ243" s="55"/>
      <c r="AK243" s="55"/>
      <c r="AL243" s="55"/>
      <c r="AM243" s="55"/>
      <c r="AN243" s="55"/>
      <c r="AO243" s="55"/>
      <c r="AP243" s="55"/>
      <c r="AQ243" s="55"/>
      <c r="AR243" s="55"/>
    </row>
    <row r="244" ht="15.75" customHeight="1" spans="1:44">
      <c r="A244" s="84" t="s">
        <v>612</v>
      </c>
      <c r="B244" s="85" t="s">
        <v>596</v>
      </c>
      <c r="C244" s="179" t="s">
        <v>349</v>
      </c>
      <c r="D244" s="80"/>
      <c r="E244" s="80"/>
      <c r="F244" s="80"/>
      <c r="G244" s="80"/>
      <c r="H244" s="80"/>
      <c r="I244" s="86">
        <v>0</v>
      </c>
      <c r="J244" s="86">
        <v>0</v>
      </c>
      <c r="K244" s="83">
        <f t="shared" si="14"/>
        <v>0</v>
      </c>
    </row>
    <row r="245" s="54" customFormat="1" ht="14.25" customHeight="1" spans="1:44">
      <c r="A245" s="84" t="s">
        <v>613</v>
      </c>
      <c r="B245" s="85" t="s">
        <v>614</v>
      </c>
      <c r="C245" s="179" t="s">
        <v>349</v>
      </c>
      <c r="D245" s="80"/>
      <c r="E245" s="80"/>
      <c r="F245" s="80"/>
      <c r="G245" s="80"/>
      <c r="H245" s="80"/>
      <c r="I245" s="86">
        <v>0</v>
      </c>
      <c r="J245" s="86">
        <v>0</v>
      </c>
      <c r="K245" s="87">
        <f t="shared" si="14"/>
        <v>0</v>
      </c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  <c r="AA245" s="55"/>
      <c r="AB245" s="55"/>
      <c r="AC245" s="55"/>
      <c r="AD245" s="55"/>
      <c r="AE245" s="55"/>
      <c r="AF245" s="55"/>
      <c r="AG245" s="55"/>
      <c r="AH245" s="55"/>
      <c r="AI245" s="55"/>
      <c r="AJ245" s="55"/>
      <c r="AK245" s="55"/>
      <c r="AL245" s="55"/>
      <c r="AM245" s="55"/>
      <c r="AN245" s="55"/>
      <c r="AO245" s="55"/>
      <c r="AP245" s="55"/>
      <c r="AQ245" s="55"/>
      <c r="AR245" s="55"/>
    </row>
    <row r="246" s="54" customFormat="1" spans="1:44">
      <c r="A246" s="182" t="s">
        <v>613</v>
      </c>
      <c r="B246" s="183" t="s">
        <v>615</v>
      </c>
      <c r="C246" s="184" t="s">
        <v>349</v>
      </c>
      <c r="D246" s="145"/>
      <c r="E246" s="145"/>
      <c r="F246" s="145"/>
      <c r="G246" s="145"/>
      <c r="H246" s="145"/>
      <c r="I246" s="164">
        <v>0</v>
      </c>
      <c r="J246" s="164">
        <v>0</v>
      </c>
      <c r="K246" s="148">
        <f t="shared" si="14"/>
        <v>0</v>
      </c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  <c r="AA246" s="55"/>
      <c r="AB246" s="55"/>
      <c r="AC246" s="55"/>
      <c r="AD246" s="55"/>
      <c r="AE246" s="55"/>
      <c r="AF246" s="55"/>
      <c r="AG246" s="55"/>
      <c r="AH246" s="55"/>
      <c r="AI246" s="55"/>
      <c r="AJ246" s="55"/>
      <c r="AK246" s="55"/>
      <c r="AL246" s="55"/>
      <c r="AM246" s="55"/>
      <c r="AN246" s="55"/>
      <c r="AO246" s="55"/>
      <c r="AP246" s="55"/>
      <c r="AQ246" s="55"/>
      <c r="AR246" s="55"/>
    </row>
    <row r="248" ht="21" spans="1:44">
      <c r="A248" s="149" t="s">
        <v>616</v>
      </c>
      <c r="B248" s="150"/>
      <c r="C248" s="150"/>
      <c r="D248" s="150"/>
      <c r="E248" s="150"/>
      <c r="F248" s="150"/>
      <c r="G248" s="150"/>
      <c r="H248" s="150"/>
      <c r="I248" s="150"/>
      <c r="J248" s="150"/>
      <c r="K248" s="151"/>
    </row>
    <row r="249" ht="33.75" spans="1:44">
      <c r="A249" s="67" t="s">
        <v>616</v>
      </c>
      <c r="B249" s="68" t="s">
        <v>617</v>
      </c>
      <c r="C249" s="68" t="s">
        <v>5</v>
      </c>
      <c r="D249" s="68" t="s">
        <v>6</v>
      </c>
      <c r="E249" s="68" t="s">
        <v>7</v>
      </c>
      <c r="F249" s="68" t="s">
        <v>8</v>
      </c>
      <c r="G249" s="68" t="s">
        <v>9</v>
      </c>
      <c r="H249" s="68" t="s">
        <v>10</v>
      </c>
      <c r="I249" s="68" t="s">
        <v>11</v>
      </c>
      <c r="J249" s="68" t="s">
        <v>12</v>
      </c>
      <c r="K249" s="69" t="s">
        <v>13</v>
      </c>
    </row>
    <row r="250" ht="12" customHeight="1" spans="1:44">
      <c r="A250" s="70" t="s">
        <v>618</v>
      </c>
      <c r="B250" s="71"/>
      <c r="C250" s="178" t="s">
        <v>349</v>
      </c>
      <c r="D250" s="73"/>
      <c r="E250" s="73"/>
      <c r="F250" s="74"/>
      <c r="G250" s="73"/>
      <c r="H250" s="73"/>
      <c r="I250" s="75">
        <v>0</v>
      </c>
      <c r="J250" s="75">
        <v>0</v>
      </c>
      <c r="K250" s="76">
        <v>0</v>
      </c>
    </row>
    <row r="251" ht="14.25" spans="1:44">
      <c r="A251" s="77" t="s">
        <v>619</v>
      </c>
      <c r="B251" s="78" t="s">
        <v>620</v>
      </c>
      <c r="C251" s="179" t="s">
        <v>349</v>
      </c>
      <c r="D251" s="80"/>
      <c r="E251" s="80"/>
      <c r="F251" s="81"/>
      <c r="G251" s="80"/>
      <c r="H251" s="80"/>
      <c r="I251" s="82">
        <v>0</v>
      </c>
      <c r="J251" s="82">
        <v>0</v>
      </c>
      <c r="K251" s="83">
        <v>0</v>
      </c>
    </row>
    <row r="252" customHeight="1" spans="1:44">
      <c r="A252" s="185" t="s">
        <v>621</v>
      </c>
      <c r="B252" s="186" t="s">
        <v>620</v>
      </c>
      <c r="C252" s="187" t="s">
        <v>349</v>
      </c>
      <c r="D252" s="188" t="s">
        <v>198</v>
      </c>
      <c r="E252" s="98">
        <v>220909</v>
      </c>
      <c r="F252" s="99">
        <v>45574</v>
      </c>
      <c r="G252" s="98">
        <v>120</v>
      </c>
      <c r="H252" s="188">
        <v>120</v>
      </c>
      <c r="I252" s="189">
        <v>51</v>
      </c>
      <c r="J252" s="189">
        <v>0</v>
      </c>
      <c r="K252" s="190">
        <f>I252-J252</f>
        <v>51</v>
      </c>
    </row>
    <row r="253" ht="14.25" spans="1:44">
      <c r="A253" s="84" t="s">
        <v>622</v>
      </c>
      <c r="B253" s="85" t="s">
        <v>620</v>
      </c>
      <c r="C253" s="179" t="s">
        <v>349</v>
      </c>
      <c r="D253" s="80"/>
      <c r="E253" s="80"/>
      <c r="F253" s="80"/>
      <c r="G253" s="80"/>
      <c r="H253" s="80"/>
      <c r="I253" s="86">
        <v>0</v>
      </c>
      <c r="J253" s="86">
        <v>0</v>
      </c>
      <c r="K253" s="83">
        <v>0</v>
      </c>
    </row>
    <row r="254" customHeight="1" spans="1:44">
      <c r="A254" s="96" t="s">
        <v>623</v>
      </c>
      <c r="B254" s="97" t="s">
        <v>620</v>
      </c>
      <c r="C254" s="191" t="s">
        <v>349</v>
      </c>
      <c r="D254" s="98"/>
      <c r="E254" s="98"/>
      <c r="F254" s="99">
        <v>45888</v>
      </c>
      <c r="G254" s="98">
        <v>12</v>
      </c>
      <c r="H254" s="98">
        <v>12</v>
      </c>
      <c r="I254" s="100">
        <v>12</v>
      </c>
      <c r="J254" s="100">
        <v>0</v>
      </c>
      <c r="K254" s="101">
        <v>12</v>
      </c>
    </row>
    <row r="255" s="54" customFormat="1" ht="14.25" spans="1:44">
      <c r="A255" s="84" t="s">
        <v>624</v>
      </c>
      <c r="B255" s="85" t="s">
        <v>620</v>
      </c>
      <c r="C255" s="179" t="s">
        <v>349</v>
      </c>
      <c r="D255" s="80"/>
      <c r="E255" s="80"/>
      <c r="F255" s="80"/>
      <c r="G255" s="80"/>
      <c r="H255" s="80"/>
      <c r="I255" s="86">
        <v>0</v>
      </c>
      <c r="J255" s="86">
        <v>0</v>
      </c>
      <c r="K255" s="83">
        <f>I255-J255</f>
        <v>0</v>
      </c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  <c r="AA255" s="55"/>
      <c r="AB255" s="55"/>
      <c r="AC255" s="55"/>
      <c r="AD255" s="55"/>
      <c r="AE255" s="55"/>
      <c r="AF255" s="55"/>
      <c r="AG255" s="55"/>
      <c r="AH255" s="55"/>
      <c r="AI255" s="55"/>
      <c r="AJ255" s="55"/>
      <c r="AK255" s="55"/>
      <c r="AL255" s="55"/>
      <c r="AM255" s="55"/>
      <c r="AN255" s="55"/>
      <c r="AO255" s="55"/>
      <c r="AP255" s="55"/>
      <c r="AQ255" s="55"/>
      <c r="AR255" s="55"/>
    </row>
    <row r="256" customHeight="1" spans="1:44">
      <c r="A256" s="96" t="s">
        <v>625</v>
      </c>
      <c r="B256" s="97" t="s">
        <v>620</v>
      </c>
      <c r="C256" s="191" t="s">
        <v>349</v>
      </c>
      <c r="D256" s="110">
        <v>46569</v>
      </c>
      <c r="E256" s="98" t="s">
        <v>626</v>
      </c>
      <c r="F256" s="99">
        <v>45888</v>
      </c>
      <c r="G256" s="98">
        <v>12</v>
      </c>
      <c r="H256" s="98">
        <v>12</v>
      </c>
      <c r="I256" s="100">
        <v>12</v>
      </c>
      <c r="J256" s="100">
        <v>0</v>
      </c>
      <c r="K256" s="101">
        <v>12</v>
      </c>
    </row>
    <row r="257" customHeight="1" spans="1:44">
      <c r="A257" s="96" t="s">
        <v>627</v>
      </c>
      <c r="B257" s="97" t="s">
        <v>620</v>
      </c>
      <c r="C257" s="191" t="s">
        <v>349</v>
      </c>
      <c r="D257" s="98" t="s">
        <v>628</v>
      </c>
      <c r="E257" s="98" t="s">
        <v>629</v>
      </c>
      <c r="F257" s="99">
        <v>45888</v>
      </c>
      <c r="G257" s="98">
        <v>12</v>
      </c>
      <c r="H257" s="98">
        <v>12</v>
      </c>
      <c r="I257" s="100">
        <v>12</v>
      </c>
      <c r="J257" s="100">
        <v>0</v>
      </c>
      <c r="K257" s="101">
        <v>12</v>
      </c>
    </row>
    <row r="258" ht="14" customHeight="1" spans="1:44">
      <c r="A258" s="96" t="s">
        <v>630</v>
      </c>
      <c r="B258" s="97" t="s">
        <v>620</v>
      </c>
      <c r="C258" s="191" t="s">
        <v>349</v>
      </c>
      <c r="D258" s="98"/>
      <c r="E258" s="98"/>
      <c r="F258" s="99">
        <v>45888</v>
      </c>
      <c r="G258" s="98">
        <v>12</v>
      </c>
      <c r="H258" s="98">
        <v>12</v>
      </c>
      <c r="I258" s="100">
        <v>12</v>
      </c>
      <c r="J258" s="100">
        <v>0</v>
      </c>
      <c r="K258" s="101">
        <v>12</v>
      </c>
    </row>
    <row r="259" s="54" customFormat="1" ht="14.25" spans="1:44">
      <c r="A259" s="84" t="s">
        <v>631</v>
      </c>
      <c r="B259" s="85" t="s">
        <v>620</v>
      </c>
      <c r="C259" s="179" t="s">
        <v>349</v>
      </c>
      <c r="D259" s="80"/>
      <c r="E259" s="80"/>
      <c r="F259" s="80"/>
      <c r="G259" s="80"/>
      <c r="H259" s="80"/>
      <c r="I259" s="86">
        <v>0</v>
      </c>
      <c r="J259" s="86">
        <v>0</v>
      </c>
      <c r="K259" s="83">
        <f>I259-J259</f>
        <v>0</v>
      </c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  <c r="AA259" s="55"/>
      <c r="AB259" s="55"/>
      <c r="AC259" s="55"/>
      <c r="AD259" s="55"/>
      <c r="AE259" s="55"/>
      <c r="AF259" s="55"/>
      <c r="AG259" s="55"/>
      <c r="AH259" s="55"/>
      <c r="AI259" s="55"/>
      <c r="AJ259" s="55"/>
      <c r="AK259" s="55"/>
      <c r="AL259" s="55"/>
      <c r="AM259" s="55"/>
      <c r="AN259" s="55"/>
      <c r="AO259" s="55"/>
      <c r="AP259" s="55"/>
      <c r="AQ259" s="55"/>
      <c r="AR259" s="55"/>
    </row>
    <row r="260" ht="16" customHeight="1" spans="1:44">
      <c r="A260" s="96" t="s">
        <v>632</v>
      </c>
      <c r="B260" s="97" t="s">
        <v>620</v>
      </c>
      <c r="C260" s="191" t="s">
        <v>349</v>
      </c>
      <c r="D260" s="98" t="s">
        <v>304</v>
      </c>
      <c r="E260" s="98" t="s">
        <v>633</v>
      </c>
      <c r="F260" s="98"/>
      <c r="G260" s="98">
        <v>12</v>
      </c>
      <c r="H260" s="98">
        <v>12</v>
      </c>
      <c r="I260" s="100">
        <v>10</v>
      </c>
      <c r="J260" s="100">
        <v>0</v>
      </c>
      <c r="K260" s="101">
        <v>10</v>
      </c>
    </row>
    <row r="261" s="54" customFormat="1" ht="14.25" spans="1:44">
      <c r="A261" s="84" t="s">
        <v>634</v>
      </c>
      <c r="B261" s="85" t="s">
        <v>620</v>
      </c>
      <c r="C261" s="179" t="s">
        <v>349</v>
      </c>
      <c r="D261" s="80"/>
      <c r="E261" s="80"/>
      <c r="F261" s="80"/>
      <c r="G261" s="80"/>
      <c r="H261" s="80"/>
      <c r="I261" s="86">
        <v>0</v>
      </c>
      <c r="J261" s="86">
        <v>0</v>
      </c>
      <c r="K261" s="83">
        <f>I261-J261</f>
        <v>0</v>
      </c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  <c r="AA261" s="55"/>
      <c r="AB261" s="55"/>
      <c r="AC261" s="55"/>
      <c r="AD261" s="55"/>
      <c r="AE261" s="55"/>
      <c r="AF261" s="55"/>
      <c r="AG261" s="55"/>
      <c r="AH261" s="55"/>
      <c r="AI261" s="55"/>
      <c r="AJ261" s="55"/>
      <c r="AK261" s="55"/>
      <c r="AL261" s="55"/>
      <c r="AM261" s="55"/>
      <c r="AN261" s="55"/>
      <c r="AO261" s="55"/>
      <c r="AP261" s="55"/>
      <c r="AQ261" s="55"/>
      <c r="AR261" s="55"/>
    </row>
    <row r="262" s="54" customFormat="1" customHeight="1" spans="1:44">
      <c r="A262" s="84" t="s">
        <v>635</v>
      </c>
      <c r="B262" s="85" t="s">
        <v>620</v>
      </c>
      <c r="C262" s="179" t="s">
        <v>349</v>
      </c>
      <c r="D262" s="111"/>
      <c r="E262" s="80"/>
      <c r="F262" s="80"/>
      <c r="G262" s="80"/>
      <c r="H262" s="80"/>
      <c r="I262" s="86">
        <v>0</v>
      </c>
      <c r="J262" s="86">
        <v>0</v>
      </c>
      <c r="K262" s="83">
        <f>I262-J262</f>
        <v>0</v>
      </c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  <c r="AA262" s="55"/>
      <c r="AB262" s="55"/>
      <c r="AC262" s="55"/>
      <c r="AD262" s="55"/>
      <c r="AE262" s="55"/>
      <c r="AF262" s="55"/>
      <c r="AG262" s="55"/>
      <c r="AH262" s="55"/>
      <c r="AI262" s="55"/>
      <c r="AJ262" s="55"/>
      <c r="AK262" s="55"/>
      <c r="AL262" s="55"/>
      <c r="AM262" s="55"/>
      <c r="AN262" s="55"/>
      <c r="AO262" s="55"/>
      <c r="AP262" s="55"/>
      <c r="AQ262" s="55"/>
      <c r="AR262" s="55"/>
    </row>
    <row r="263" ht="14.25" spans="1:44">
      <c r="A263" s="96" t="s">
        <v>636</v>
      </c>
      <c r="B263" s="97" t="s">
        <v>620</v>
      </c>
      <c r="C263" s="191" t="s">
        <v>349</v>
      </c>
      <c r="D263" s="110">
        <v>46905</v>
      </c>
      <c r="E263" s="98" t="s">
        <v>637</v>
      </c>
      <c r="F263" s="99">
        <v>45727</v>
      </c>
      <c r="G263" s="98">
        <v>12</v>
      </c>
      <c r="H263" s="98">
        <v>12</v>
      </c>
      <c r="I263" s="100">
        <v>10</v>
      </c>
      <c r="J263" s="100">
        <v>0</v>
      </c>
      <c r="K263" s="101">
        <v>10</v>
      </c>
    </row>
    <row r="264" ht="18" customHeight="1" spans="1:44">
      <c r="A264" s="84" t="s">
        <v>638</v>
      </c>
      <c r="B264" s="85" t="s">
        <v>620</v>
      </c>
      <c r="C264" s="179" t="s">
        <v>349</v>
      </c>
      <c r="D264" s="111"/>
      <c r="E264" s="80"/>
      <c r="F264" s="80"/>
      <c r="G264" s="80"/>
      <c r="H264" s="80"/>
      <c r="I264" s="86">
        <v>0</v>
      </c>
      <c r="J264" s="86">
        <v>0</v>
      </c>
      <c r="K264" s="83">
        <f>I264-J264</f>
        <v>0</v>
      </c>
    </row>
    <row r="265" s="54" customFormat="1" ht="14.25" spans="1:44">
      <c r="A265" s="84" t="s">
        <v>639</v>
      </c>
      <c r="B265" s="85" t="s">
        <v>620</v>
      </c>
      <c r="C265" s="179" t="s">
        <v>349</v>
      </c>
      <c r="D265" s="111"/>
      <c r="E265" s="80"/>
      <c r="F265" s="80"/>
      <c r="G265" s="80"/>
      <c r="H265" s="80"/>
      <c r="I265" s="86">
        <v>0</v>
      </c>
      <c r="J265" s="86">
        <v>0</v>
      </c>
      <c r="K265" s="83">
        <f>I265-J265</f>
        <v>0</v>
      </c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  <c r="AA265" s="55"/>
      <c r="AB265" s="55"/>
      <c r="AC265" s="55"/>
      <c r="AD265" s="55"/>
      <c r="AE265" s="55"/>
      <c r="AF265" s="55"/>
      <c r="AG265" s="55"/>
      <c r="AH265" s="55"/>
      <c r="AI265" s="55"/>
      <c r="AJ265" s="55"/>
      <c r="AK265" s="55"/>
      <c r="AL265" s="55"/>
      <c r="AM265" s="55"/>
      <c r="AN265" s="55"/>
      <c r="AO265" s="55"/>
      <c r="AP265" s="55"/>
      <c r="AQ265" s="55"/>
      <c r="AR265" s="55"/>
    </row>
    <row r="266" s="55" customFormat="1" ht="18" customHeight="1" spans="1:44">
      <c r="A266" s="180" t="s">
        <v>640</v>
      </c>
      <c r="B266" s="121" t="s">
        <v>620</v>
      </c>
      <c r="C266" s="181" t="s">
        <v>349</v>
      </c>
      <c r="D266" s="192" t="s">
        <v>641</v>
      </c>
      <c r="E266" s="106" t="s">
        <v>642</v>
      </c>
      <c r="F266" s="107">
        <v>46232</v>
      </c>
      <c r="G266" s="106">
        <v>24</v>
      </c>
      <c r="H266" s="106">
        <v>24</v>
      </c>
      <c r="I266" s="122">
        <v>0</v>
      </c>
      <c r="J266" s="122">
        <v>0</v>
      </c>
      <c r="K266" s="109">
        <f>I266-J266</f>
        <v>0</v>
      </c>
    </row>
    <row r="267" ht="14.25" spans="1:44">
      <c r="A267" s="96" t="s">
        <v>643</v>
      </c>
      <c r="B267" s="97" t="s">
        <v>620</v>
      </c>
      <c r="C267" s="191" t="s">
        <v>349</v>
      </c>
      <c r="D267" s="98" t="s">
        <v>262</v>
      </c>
      <c r="E267" s="98" t="s">
        <v>644</v>
      </c>
      <c r="F267" s="99">
        <v>45888</v>
      </c>
      <c r="G267" s="98">
        <v>6</v>
      </c>
      <c r="H267" s="98">
        <v>6</v>
      </c>
      <c r="I267" s="100">
        <v>6</v>
      </c>
      <c r="J267" s="100">
        <v>0</v>
      </c>
      <c r="K267" s="101">
        <v>6</v>
      </c>
    </row>
    <row r="268" ht="24" customHeight="1" spans="1:44">
      <c r="A268" s="96" t="s">
        <v>645</v>
      </c>
      <c r="B268" s="97" t="s">
        <v>620</v>
      </c>
      <c r="C268" s="191" t="s">
        <v>349</v>
      </c>
      <c r="D268" s="98"/>
      <c r="E268" s="98"/>
      <c r="F268" s="98"/>
      <c r="G268" s="98"/>
      <c r="H268" s="98"/>
      <c r="I268" s="100">
        <v>11</v>
      </c>
      <c r="J268" s="100">
        <v>0</v>
      </c>
      <c r="K268" s="101">
        <v>11</v>
      </c>
    </row>
    <row r="269" ht="14.25" spans="1:44">
      <c r="A269" s="96" t="s">
        <v>646</v>
      </c>
      <c r="B269" s="97" t="s">
        <v>620</v>
      </c>
      <c r="C269" s="191" t="s">
        <v>349</v>
      </c>
      <c r="D269" s="110">
        <v>46508</v>
      </c>
      <c r="E269" s="98" t="s">
        <v>647</v>
      </c>
      <c r="F269" s="99">
        <v>44980</v>
      </c>
      <c r="G269" s="98">
        <v>36</v>
      </c>
      <c r="H269" s="98">
        <v>36</v>
      </c>
      <c r="I269" s="100">
        <v>5</v>
      </c>
      <c r="J269" s="100">
        <v>0</v>
      </c>
      <c r="K269" s="101">
        <v>5</v>
      </c>
    </row>
    <row r="270" ht="14.25" spans="1:44">
      <c r="A270" s="96" t="s">
        <v>648</v>
      </c>
      <c r="B270" s="97" t="s">
        <v>620</v>
      </c>
      <c r="C270" s="191" t="s">
        <v>349</v>
      </c>
      <c r="D270" s="110">
        <v>46874</v>
      </c>
      <c r="E270" s="98">
        <v>623213</v>
      </c>
      <c r="F270" s="99">
        <v>45551</v>
      </c>
      <c r="G270" s="98">
        <v>12</v>
      </c>
      <c r="H270" s="98">
        <v>12</v>
      </c>
      <c r="I270" s="100">
        <v>10</v>
      </c>
      <c r="J270" s="100">
        <v>0</v>
      </c>
      <c r="K270" s="101">
        <v>10</v>
      </c>
    </row>
    <row r="271" s="54" customFormat="1" ht="14.25" spans="1:44">
      <c r="A271" s="77" t="s">
        <v>649</v>
      </c>
      <c r="B271" s="78" t="s">
        <v>620</v>
      </c>
      <c r="C271" s="179" t="s">
        <v>349</v>
      </c>
      <c r="D271" s="95"/>
      <c r="E271" s="80"/>
      <c r="F271" s="81"/>
      <c r="G271" s="80"/>
      <c r="H271" s="80"/>
      <c r="I271" s="82">
        <v>0</v>
      </c>
      <c r="J271" s="82">
        <v>0</v>
      </c>
      <c r="K271" s="83">
        <v>0</v>
      </c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  <c r="AA271" s="55"/>
      <c r="AB271" s="55"/>
      <c r="AC271" s="55"/>
      <c r="AD271" s="55"/>
      <c r="AE271" s="55"/>
      <c r="AF271" s="55"/>
      <c r="AG271" s="55"/>
      <c r="AH271" s="55"/>
      <c r="AI271" s="55"/>
      <c r="AJ271" s="55"/>
      <c r="AK271" s="55"/>
      <c r="AL271" s="55"/>
      <c r="AM271" s="55"/>
      <c r="AN271" s="55"/>
      <c r="AO271" s="55"/>
      <c r="AP271" s="55"/>
      <c r="AQ271" s="55"/>
      <c r="AR271" s="55"/>
    </row>
    <row r="272" ht="14.25" spans="1:44">
      <c r="A272" s="84" t="s">
        <v>650</v>
      </c>
      <c r="B272" s="85" t="s">
        <v>620</v>
      </c>
      <c r="C272" s="179" t="s">
        <v>349</v>
      </c>
      <c r="D272" s="80"/>
      <c r="E272" s="80"/>
      <c r="F272" s="80"/>
      <c r="G272" s="80"/>
      <c r="H272" s="80"/>
      <c r="I272" s="86">
        <v>0</v>
      </c>
      <c r="J272" s="86">
        <v>0</v>
      </c>
      <c r="K272" s="83">
        <f>I272-J272</f>
        <v>0</v>
      </c>
    </row>
    <row r="273" ht="14.25" spans="1:44">
      <c r="A273" s="84" t="s">
        <v>651</v>
      </c>
      <c r="B273" s="85" t="s">
        <v>620</v>
      </c>
      <c r="C273" s="179" t="s">
        <v>349</v>
      </c>
      <c r="D273" s="111"/>
      <c r="E273" s="80"/>
      <c r="F273" s="80"/>
      <c r="G273" s="80"/>
      <c r="H273" s="80"/>
      <c r="I273" s="86">
        <v>0</v>
      </c>
      <c r="J273" s="86">
        <v>0</v>
      </c>
      <c r="K273" s="83">
        <f>I273-J273</f>
        <v>0</v>
      </c>
    </row>
    <row r="274" s="54" customFormat="1" ht="14.25" spans="1:44">
      <c r="A274" s="96" t="s">
        <v>652</v>
      </c>
      <c r="B274" s="97" t="s">
        <v>620</v>
      </c>
      <c r="C274" s="191" t="s">
        <v>349</v>
      </c>
      <c r="D274" s="110">
        <v>46569</v>
      </c>
      <c r="E274" s="98">
        <v>7261</v>
      </c>
      <c r="F274" s="99">
        <v>45551</v>
      </c>
      <c r="G274" s="98">
        <v>60</v>
      </c>
      <c r="H274" s="98">
        <v>60</v>
      </c>
      <c r="I274" s="100">
        <v>22</v>
      </c>
      <c r="J274" s="100">
        <v>0</v>
      </c>
      <c r="K274" s="101">
        <v>22</v>
      </c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  <c r="AA274" s="55"/>
      <c r="AB274" s="55"/>
      <c r="AC274" s="55"/>
      <c r="AD274" s="55"/>
      <c r="AE274" s="55"/>
      <c r="AF274" s="55"/>
      <c r="AG274" s="55"/>
      <c r="AH274" s="55"/>
      <c r="AI274" s="55"/>
      <c r="AJ274" s="55"/>
      <c r="AK274" s="55"/>
      <c r="AL274" s="55"/>
      <c r="AM274" s="55"/>
      <c r="AN274" s="55"/>
      <c r="AO274" s="55"/>
      <c r="AP274" s="55"/>
      <c r="AQ274" s="55"/>
      <c r="AR274" s="55"/>
    </row>
    <row r="275" ht="14.25" spans="1:44">
      <c r="A275" s="84" t="s">
        <v>653</v>
      </c>
      <c r="B275" s="85" t="s">
        <v>620</v>
      </c>
      <c r="C275" s="179" t="s">
        <v>349</v>
      </c>
      <c r="D275" s="80"/>
      <c r="E275" s="80"/>
      <c r="F275" s="80"/>
      <c r="G275" s="80"/>
      <c r="H275" s="80"/>
      <c r="I275" s="86">
        <v>0</v>
      </c>
      <c r="J275" s="86">
        <v>0</v>
      </c>
      <c r="K275" s="83">
        <f>I275-J275</f>
        <v>0</v>
      </c>
    </row>
    <row r="276" ht="14.25" spans="1:44">
      <c r="A276" s="96" t="s">
        <v>654</v>
      </c>
      <c r="B276" s="97" t="s">
        <v>620</v>
      </c>
      <c r="C276" s="191" t="s">
        <v>349</v>
      </c>
      <c r="D276" s="110">
        <v>46539</v>
      </c>
      <c r="E276" s="98" t="s">
        <v>655</v>
      </c>
      <c r="F276" s="99">
        <v>45551</v>
      </c>
      <c r="G276" s="98">
        <v>60</v>
      </c>
      <c r="H276" s="98">
        <v>60</v>
      </c>
      <c r="I276" s="100">
        <v>47</v>
      </c>
      <c r="J276" s="100">
        <v>0</v>
      </c>
      <c r="K276" s="101">
        <v>47</v>
      </c>
    </row>
    <row r="277" ht="14.25" spans="1:44">
      <c r="A277" s="96" t="s">
        <v>656</v>
      </c>
      <c r="B277" s="97" t="s">
        <v>620</v>
      </c>
      <c r="C277" s="191" t="s">
        <v>349</v>
      </c>
      <c r="D277" s="110">
        <v>46539</v>
      </c>
      <c r="E277" s="98">
        <v>7259</v>
      </c>
      <c r="F277" s="99">
        <v>45551</v>
      </c>
      <c r="G277" s="98">
        <v>60</v>
      </c>
      <c r="H277" s="98">
        <v>60</v>
      </c>
      <c r="I277" s="100">
        <v>11</v>
      </c>
      <c r="J277" s="100">
        <v>0</v>
      </c>
      <c r="K277" s="101">
        <v>11</v>
      </c>
    </row>
    <row r="278" ht="14.25" spans="1:44">
      <c r="A278" s="96" t="s">
        <v>657</v>
      </c>
      <c r="B278" s="97" t="s">
        <v>620</v>
      </c>
      <c r="C278" s="191" t="s">
        <v>349</v>
      </c>
      <c r="D278" s="98"/>
      <c r="E278" s="98"/>
      <c r="F278" s="99">
        <v>45727</v>
      </c>
      <c r="G278" s="98">
        <v>20</v>
      </c>
      <c r="H278" s="98">
        <v>20</v>
      </c>
      <c r="I278" s="100">
        <v>20</v>
      </c>
      <c r="J278" s="100">
        <v>0</v>
      </c>
      <c r="K278" s="101">
        <v>20</v>
      </c>
    </row>
    <row r="279" ht="14.25" spans="1:44">
      <c r="A279" s="96" t="s">
        <v>658</v>
      </c>
      <c r="B279" s="97" t="s">
        <v>620</v>
      </c>
      <c r="C279" s="191" t="s">
        <v>349</v>
      </c>
      <c r="D279" s="110">
        <v>46539</v>
      </c>
      <c r="E279" s="98" t="s">
        <v>659</v>
      </c>
      <c r="F279" s="99">
        <v>45111</v>
      </c>
      <c r="G279" s="98">
        <v>23</v>
      </c>
      <c r="H279" s="98">
        <v>23</v>
      </c>
      <c r="I279" s="100">
        <v>21</v>
      </c>
      <c r="J279" s="100">
        <v>0</v>
      </c>
      <c r="K279" s="101">
        <v>21</v>
      </c>
    </row>
    <row r="280" ht="14.25" spans="1:44">
      <c r="A280" s="84" t="s">
        <v>660</v>
      </c>
      <c r="B280" s="85" t="s">
        <v>620</v>
      </c>
      <c r="C280" s="179" t="s">
        <v>349</v>
      </c>
      <c r="D280" s="80"/>
      <c r="E280" s="80"/>
      <c r="F280" s="80"/>
      <c r="G280" s="80"/>
      <c r="H280" s="80"/>
      <c r="I280" s="86">
        <v>0</v>
      </c>
      <c r="J280" s="86">
        <v>0</v>
      </c>
      <c r="K280" s="83">
        <f>I280-J280</f>
        <v>0</v>
      </c>
    </row>
    <row r="281" ht="14.25" spans="1:44">
      <c r="A281" s="84" t="s">
        <v>661</v>
      </c>
      <c r="B281" s="85" t="s">
        <v>620</v>
      </c>
      <c r="C281" s="179" t="s">
        <v>349</v>
      </c>
      <c r="D281" s="80"/>
      <c r="E281" s="80"/>
      <c r="F281" s="80"/>
      <c r="G281" s="80"/>
      <c r="H281" s="80"/>
      <c r="I281" s="86">
        <v>0</v>
      </c>
      <c r="J281" s="86">
        <v>0</v>
      </c>
      <c r="K281" s="83">
        <f>I281-J281</f>
        <v>0</v>
      </c>
    </row>
    <row r="282" ht="14.25" spans="1:44">
      <c r="A282" s="96" t="s">
        <v>662</v>
      </c>
      <c r="B282" s="97" t="s">
        <v>620</v>
      </c>
      <c r="C282" s="191" t="s">
        <v>349</v>
      </c>
      <c r="D282" s="98" t="s">
        <v>663</v>
      </c>
      <c r="E282" s="98" t="s">
        <v>664</v>
      </c>
      <c r="F282" s="99">
        <v>45888</v>
      </c>
      <c r="G282" s="98">
        <v>12</v>
      </c>
      <c r="H282" s="98">
        <v>12</v>
      </c>
      <c r="I282" s="100">
        <v>12</v>
      </c>
      <c r="J282" s="100">
        <v>0</v>
      </c>
      <c r="K282" s="101">
        <v>12</v>
      </c>
    </row>
    <row r="283" ht="14" customHeight="1" spans="1:44">
      <c r="A283" s="193" t="s">
        <v>665</v>
      </c>
      <c r="B283" s="194" t="s">
        <v>620</v>
      </c>
      <c r="C283" s="195" t="s">
        <v>349</v>
      </c>
      <c r="D283" s="196" t="s">
        <v>63</v>
      </c>
      <c r="E283" s="196" t="s">
        <v>666</v>
      </c>
      <c r="F283" s="197">
        <v>45142</v>
      </c>
      <c r="G283" s="196">
        <v>20</v>
      </c>
      <c r="H283" s="196">
        <v>40</v>
      </c>
      <c r="I283" s="198">
        <v>39</v>
      </c>
      <c r="J283" s="198">
        <v>0</v>
      </c>
      <c r="K283" s="199">
        <v>39</v>
      </c>
    </row>
    <row r="284" ht="14.25" spans="1:44">
      <c r="A284" s="200" t="s">
        <v>667</v>
      </c>
      <c r="B284" s="201" t="s">
        <v>620</v>
      </c>
      <c r="C284" s="202" t="s">
        <v>349</v>
      </c>
      <c r="D284" s="80"/>
      <c r="E284" s="80"/>
      <c r="F284" s="80"/>
      <c r="G284" s="80"/>
      <c r="H284" s="80"/>
      <c r="I284" s="86">
        <v>0</v>
      </c>
      <c r="J284" s="86">
        <v>0</v>
      </c>
      <c r="K284" s="83">
        <f>I284-J284</f>
        <v>0</v>
      </c>
    </row>
    <row r="285" ht="14.25" spans="1:44">
      <c r="A285" s="84" t="s">
        <v>668</v>
      </c>
      <c r="B285" s="85" t="s">
        <v>620</v>
      </c>
      <c r="C285" s="179" t="s">
        <v>349</v>
      </c>
      <c r="D285" s="80"/>
      <c r="E285" s="80"/>
      <c r="F285" s="80"/>
      <c r="G285" s="80"/>
      <c r="H285" s="80"/>
      <c r="I285" s="86">
        <v>0</v>
      </c>
      <c r="J285" s="86">
        <v>0</v>
      </c>
      <c r="K285" s="83">
        <f>I285-J285</f>
        <v>0</v>
      </c>
    </row>
    <row r="286" ht="14.25" spans="1:44">
      <c r="A286" s="116" t="s">
        <v>669</v>
      </c>
      <c r="B286" s="203" t="s">
        <v>620</v>
      </c>
      <c r="C286" s="187" t="s">
        <v>349</v>
      </c>
      <c r="D286" s="110">
        <v>46813</v>
      </c>
      <c r="E286" s="98" t="s">
        <v>670</v>
      </c>
      <c r="F286" s="99">
        <v>45551</v>
      </c>
      <c r="G286" s="98">
        <v>72</v>
      </c>
      <c r="H286" s="98">
        <v>72</v>
      </c>
      <c r="I286" s="100">
        <v>12</v>
      </c>
      <c r="J286" s="100">
        <v>0</v>
      </c>
      <c r="K286" s="101">
        <v>12</v>
      </c>
    </row>
    <row r="287" ht="14.25" spans="1:44">
      <c r="A287" s="96" t="s">
        <v>671</v>
      </c>
      <c r="B287" s="97" t="s">
        <v>620</v>
      </c>
      <c r="C287" s="191" t="s">
        <v>349</v>
      </c>
      <c r="D287" s="98"/>
      <c r="E287" s="98"/>
      <c r="F287" s="99">
        <v>45727</v>
      </c>
      <c r="G287" s="98">
        <v>12</v>
      </c>
      <c r="H287" s="98">
        <v>12</v>
      </c>
      <c r="I287" s="100">
        <v>7</v>
      </c>
      <c r="J287" s="100">
        <v>0</v>
      </c>
      <c r="K287" s="101">
        <v>7</v>
      </c>
    </row>
    <row r="288" ht="14.25" spans="1:44">
      <c r="A288" s="96" t="s">
        <v>672</v>
      </c>
      <c r="B288" s="97" t="s">
        <v>620</v>
      </c>
      <c r="C288" s="191" t="s">
        <v>349</v>
      </c>
      <c r="D288" s="98" t="s">
        <v>120</v>
      </c>
      <c r="E288" s="98"/>
      <c r="F288" s="99">
        <v>45727</v>
      </c>
      <c r="G288" s="98">
        <v>12</v>
      </c>
      <c r="H288" s="98">
        <v>12</v>
      </c>
      <c r="I288" s="100">
        <v>12</v>
      </c>
      <c r="J288" s="100">
        <v>0</v>
      </c>
      <c r="K288" s="101">
        <v>12</v>
      </c>
    </row>
    <row r="289" s="54" customFormat="1" spans="1:44">
      <c r="A289" s="182" t="s">
        <v>673</v>
      </c>
      <c r="B289" s="183" t="s">
        <v>620</v>
      </c>
      <c r="C289" s="184" t="s">
        <v>349</v>
      </c>
      <c r="D289" s="145"/>
      <c r="E289" s="145"/>
      <c r="F289" s="145"/>
      <c r="G289" s="145"/>
      <c r="H289" s="145"/>
      <c r="I289" s="164">
        <v>0</v>
      </c>
      <c r="J289" s="164">
        <v>0</v>
      </c>
      <c r="K289" s="148">
        <f>I289-J289</f>
        <v>0</v>
      </c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  <c r="AA289" s="55"/>
      <c r="AB289" s="55"/>
      <c r="AC289" s="55"/>
      <c r="AD289" s="55"/>
      <c r="AE289" s="55"/>
      <c r="AF289" s="55"/>
      <c r="AG289" s="55"/>
      <c r="AH289" s="55"/>
      <c r="AI289" s="55"/>
      <c r="AJ289" s="55"/>
      <c r="AK289" s="55"/>
      <c r="AL289" s="55"/>
      <c r="AM289" s="55"/>
      <c r="AN289" s="55"/>
      <c r="AO289" s="55"/>
      <c r="AP289" s="55"/>
      <c r="AQ289" s="55"/>
      <c r="AR289" s="55"/>
    </row>
    <row r="291" ht="21" spans="1:44">
      <c r="A291" s="166" t="s">
        <v>674</v>
      </c>
      <c r="B291" s="167"/>
      <c r="C291" s="167"/>
      <c r="D291" s="167"/>
      <c r="E291" s="167"/>
      <c r="F291" s="167"/>
      <c r="G291" s="167"/>
      <c r="H291" s="167"/>
      <c r="I291" s="167"/>
      <c r="J291" s="167"/>
      <c r="K291" s="168"/>
    </row>
    <row r="292" ht="33.75" spans="1:44">
      <c r="A292" s="67" t="s">
        <v>675</v>
      </c>
      <c r="B292" s="68" t="s">
        <v>617</v>
      </c>
      <c r="C292" s="68" t="s">
        <v>5</v>
      </c>
      <c r="D292" s="68" t="s">
        <v>6</v>
      </c>
      <c r="E292" s="68" t="s">
        <v>7</v>
      </c>
      <c r="F292" s="68" t="s">
        <v>8</v>
      </c>
      <c r="G292" s="68" t="s">
        <v>9</v>
      </c>
      <c r="H292" s="68" t="s">
        <v>10</v>
      </c>
      <c r="I292" s="68" t="s">
        <v>11</v>
      </c>
      <c r="J292" s="68" t="s">
        <v>12</v>
      </c>
      <c r="K292" s="69" t="s">
        <v>13</v>
      </c>
    </row>
    <row r="293" s="54" customFormat="1" ht="14.25" spans="1:44">
      <c r="A293" s="204" t="s">
        <v>676</v>
      </c>
      <c r="B293" s="205" t="s">
        <v>677</v>
      </c>
      <c r="C293" s="206" t="s">
        <v>349</v>
      </c>
      <c r="D293" s="207" t="s">
        <v>26</v>
      </c>
      <c r="E293" s="208">
        <v>231101</v>
      </c>
      <c r="F293" s="209">
        <v>46232</v>
      </c>
      <c r="G293" s="208">
        <v>100</v>
      </c>
      <c r="H293" s="208">
        <v>100</v>
      </c>
      <c r="I293" s="210">
        <v>26</v>
      </c>
      <c r="J293" s="210">
        <v>21</v>
      </c>
      <c r="K293" s="211">
        <f>I293-J293</f>
        <v>5</v>
      </c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  <c r="AA293" s="55"/>
      <c r="AB293" s="55"/>
      <c r="AC293" s="55"/>
      <c r="AD293" s="55"/>
      <c r="AE293" s="55"/>
      <c r="AF293" s="55"/>
      <c r="AG293" s="55"/>
      <c r="AH293" s="55"/>
      <c r="AI293" s="55"/>
      <c r="AJ293" s="55"/>
      <c r="AK293" s="55"/>
      <c r="AL293" s="55"/>
      <c r="AM293" s="55"/>
      <c r="AN293" s="55"/>
      <c r="AO293" s="55"/>
      <c r="AP293" s="55"/>
      <c r="AQ293" s="55"/>
      <c r="AR293" s="55"/>
    </row>
    <row r="294" s="54" customFormat="1" ht="14.25" spans="1:44">
      <c r="A294" s="212" t="s">
        <v>678</v>
      </c>
      <c r="B294" s="213" t="s">
        <v>679</v>
      </c>
      <c r="C294" s="214" t="s">
        <v>349</v>
      </c>
      <c r="D294" s="188" t="s">
        <v>349</v>
      </c>
      <c r="E294" s="188" t="s">
        <v>349</v>
      </c>
      <c r="F294" s="99">
        <v>46042</v>
      </c>
      <c r="G294" s="98">
        <v>20</v>
      </c>
      <c r="H294" s="98">
        <v>20</v>
      </c>
      <c r="I294" s="215">
        <v>20</v>
      </c>
      <c r="J294" s="215">
        <v>0</v>
      </c>
      <c r="K294" s="101">
        <f>I294-J294</f>
        <v>20</v>
      </c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  <c r="AA294" s="55"/>
      <c r="AB294" s="55"/>
      <c r="AC294" s="55"/>
      <c r="AD294" s="55"/>
      <c r="AE294" s="55"/>
      <c r="AF294" s="55"/>
      <c r="AG294" s="55"/>
      <c r="AH294" s="55"/>
      <c r="AI294" s="55"/>
      <c r="AJ294" s="55"/>
      <c r="AK294" s="55"/>
      <c r="AL294" s="55"/>
      <c r="AM294" s="55"/>
      <c r="AN294" s="55"/>
      <c r="AO294" s="55"/>
      <c r="AP294" s="55"/>
      <c r="AQ294" s="55"/>
      <c r="AR294" s="55"/>
    </row>
    <row r="295" customFormat="1" ht="14.25" spans="1:44">
      <c r="A295" s="216"/>
      <c r="B295" s="217"/>
      <c r="C295" s="218"/>
      <c r="D295" s="219"/>
      <c r="E295" s="219"/>
      <c r="F295" s="99">
        <v>46132</v>
      </c>
      <c r="G295" s="98">
        <v>20</v>
      </c>
      <c r="H295" s="98">
        <v>20</v>
      </c>
      <c r="I295" s="100">
        <v>20</v>
      </c>
      <c r="J295" s="100">
        <v>0</v>
      </c>
      <c r="K295" s="101">
        <v>20</v>
      </c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  <c r="AA295" s="55"/>
      <c r="AB295" s="55"/>
      <c r="AC295" s="55"/>
      <c r="AD295" s="55"/>
      <c r="AE295" s="55"/>
      <c r="AF295" s="55"/>
      <c r="AG295" s="55"/>
      <c r="AH295" s="55"/>
      <c r="AI295" s="55"/>
      <c r="AJ295" s="55"/>
      <c r="AK295" s="55"/>
      <c r="AL295" s="55"/>
      <c r="AM295" s="55"/>
      <c r="AN295" s="55"/>
      <c r="AO295" s="55"/>
      <c r="AP295" s="55"/>
      <c r="AQ295" s="55"/>
      <c r="AR295" s="55"/>
    </row>
    <row r="296" s="54" customFormat="1" ht="14.25" spans="1:44">
      <c r="A296" s="220" t="s">
        <v>678</v>
      </c>
      <c r="B296" s="221" t="s">
        <v>680</v>
      </c>
      <c r="C296" s="222" t="s">
        <v>349</v>
      </c>
      <c r="D296" s="223"/>
      <c r="E296" s="223"/>
      <c r="F296" s="224">
        <v>46132</v>
      </c>
      <c r="G296" s="223">
        <v>1</v>
      </c>
      <c r="H296" s="223">
        <v>1</v>
      </c>
      <c r="I296" s="225">
        <v>1</v>
      </c>
      <c r="J296" s="225">
        <v>0</v>
      </c>
      <c r="K296" s="226">
        <v>1</v>
      </c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  <c r="AA296" s="55"/>
      <c r="AB296" s="55"/>
      <c r="AC296" s="55"/>
      <c r="AD296" s="55"/>
      <c r="AE296" s="55"/>
      <c r="AF296" s="55"/>
      <c r="AG296" s="55"/>
      <c r="AH296" s="55"/>
      <c r="AI296" s="55"/>
      <c r="AJ296" s="55"/>
      <c r="AK296" s="55"/>
      <c r="AL296" s="55"/>
      <c r="AM296" s="55"/>
      <c r="AN296" s="55"/>
      <c r="AO296" s="55"/>
      <c r="AP296" s="55"/>
      <c r="AQ296" s="55"/>
      <c r="AR296" s="55"/>
    </row>
    <row r="297" s="54" customFormat="1" ht="14.25" spans="1:44">
      <c r="A297" s="227" t="s">
        <v>678</v>
      </c>
      <c r="B297" s="228" t="s">
        <v>681</v>
      </c>
      <c r="C297" s="229" t="s">
        <v>349</v>
      </c>
      <c r="D297" s="230"/>
      <c r="E297" s="230"/>
      <c r="F297" s="231"/>
      <c r="G297" s="230"/>
      <c r="H297" s="230"/>
      <c r="I297" s="113">
        <v>0</v>
      </c>
      <c r="J297" s="113">
        <v>0</v>
      </c>
      <c r="K297" s="114">
        <f t="shared" ref="K297:K304" si="15">I297-J297</f>
        <v>0</v>
      </c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  <c r="AA297" s="55"/>
      <c r="AB297" s="55"/>
      <c r="AC297" s="55"/>
      <c r="AD297" s="55"/>
      <c r="AE297" s="55"/>
      <c r="AF297" s="55"/>
      <c r="AG297" s="55"/>
      <c r="AH297" s="55"/>
      <c r="AI297" s="55"/>
      <c r="AJ297" s="55"/>
      <c r="AK297" s="55"/>
      <c r="AL297" s="55"/>
      <c r="AM297" s="55"/>
      <c r="AN297" s="55"/>
      <c r="AO297" s="55"/>
      <c r="AP297" s="55"/>
      <c r="AQ297" s="55"/>
      <c r="AR297" s="55"/>
    </row>
    <row r="298" s="54" customFormat="1" ht="12" customHeight="1" spans="1:44">
      <c r="A298" s="84" t="s">
        <v>682</v>
      </c>
      <c r="B298" s="85" t="s">
        <v>683</v>
      </c>
      <c r="C298" s="179" t="s">
        <v>349</v>
      </c>
      <c r="D298" s="80"/>
      <c r="E298" s="80"/>
      <c r="F298" s="80"/>
      <c r="G298" s="80"/>
      <c r="H298" s="80"/>
      <c r="I298" s="86">
        <v>0</v>
      </c>
      <c r="J298" s="86">
        <v>0</v>
      </c>
      <c r="K298" s="83">
        <f t="shared" si="15"/>
        <v>0</v>
      </c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  <c r="AA298" s="55"/>
      <c r="AB298" s="55"/>
      <c r="AC298" s="55"/>
      <c r="AD298" s="55"/>
      <c r="AE298" s="55"/>
      <c r="AF298" s="55"/>
      <c r="AG298" s="55"/>
      <c r="AH298" s="55"/>
      <c r="AI298" s="55"/>
      <c r="AJ298" s="55"/>
      <c r="AK298" s="55"/>
      <c r="AL298" s="55"/>
      <c r="AM298" s="55"/>
      <c r="AN298" s="55"/>
      <c r="AO298" s="55"/>
      <c r="AP298" s="55"/>
      <c r="AQ298" s="55"/>
      <c r="AR298" s="55"/>
    </row>
    <row r="299" s="54" customFormat="1" ht="14.25" spans="1:44">
      <c r="A299" s="84" t="s">
        <v>684</v>
      </c>
      <c r="B299" s="85" t="s">
        <v>685</v>
      </c>
      <c r="C299" s="179" t="s">
        <v>349</v>
      </c>
      <c r="D299" s="80"/>
      <c r="E299" s="80"/>
      <c r="F299" s="80"/>
      <c r="G299" s="80"/>
      <c r="H299" s="80"/>
      <c r="I299" s="86">
        <v>0</v>
      </c>
      <c r="J299" s="86">
        <v>0</v>
      </c>
      <c r="K299" s="83">
        <f t="shared" si="15"/>
        <v>0</v>
      </c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  <c r="AA299" s="55"/>
      <c r="AB299" s="55"/>
      <c r="AC299" s="55"/>
      <c r="AD299" s="55"/>
      <c r="AE299" s="55"/>
      <c r="AF299" s="55"/>
      <c r="AG299" s="55"/>
      <c r="AH299" s="55"/>
      <c r="AI299" s="55"/>
      <c r="AJ299" s="55"/>
      <c r="AK299" s="55"/>
      <c r="AL299" s="55"/>
      <c r="AM299" s="55"/>
      <c r="AN299" s="55"/>
      <c r="AO299" s="55"/>
      <c r="AP299" s="55"/>
      <c r="AQ299" s="55"/>
      <c r="AR299" s="55"/>
    </row>
    <row r="300" s="54" customFormat="1" ht="14.25" spans="1:44">
      <c r="A300" s="84" t="s">
        <v>686</v>
      </c>
      <c r="B300" s="85" t="s">
        <v>687</v>
      </c>
      <c r="C300" s="179" t="s">
        <v>349</v>
      </c>
      <c r="D300" s="129"/>
      <c r="E300" s="80"/>
      <c r="F300" s="81"/>
      <c r="G300" s="80"/>
      <c r="H300" s="80"/>
      <c r="I300" s="86">
        <v>0</v>
      </c>
      <c r="J300" s="86">
        <v>0</v>
      </c>
      <c r="K300" s="83">
        <f t="shared" si="15"/>
        <v>0</v>
      </c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  <c r="AA300" s="55"/>
      <c r="AB300" s="55"/>
      <c r="AC300" s="55"/>
      <c r="AD300" s="55"/>
      <c r="AE300" s="55"/>
      <c r="AF300" s="55"/>
      <c r="AG300" s="55"/>
      <c r="AH300" s="55"/>
      <c r="AI300" s="55"/>
      <c r="AJ300" s="55"/>
      <c r="AK300" s="55"/>
      <c r="AL300" s="55"/>
      <c r="AM300" s="55"/>
      <c r="AN300" s="55"/>
      <c r="AO300" s="55"/>
      <c r="AP300" s="55"/>
      <c r="AQ300" s="55"/>
      <c r="AR300" s="55"/>
    </row>
    <row r="301" ht="14.25" spans="1:44">
      <c r="A301" s="77" t="s">
        <v>688</v>
      </c>
      <c r="B301" s="78" t="s">
        <v>689</v>
      </c>
      <c r="C301" s="179" t="s">
        <v>349</v>
      </c>
      <c r="D301" s="80"/>
      <c r="E301" s="80"/>
      <c r="F301" s="81"/>
      <c r="G301" s="80"/>
      <c r="H301" s="80"/>
      <c r="I301" s="82">
        <v>0</v>
      </c>
      <c r="J301" s="82">
        <v>0</v>
      </c>
      <c r="K301" s="83">
        <f t="shared" si="15"/>
        <v>0</v>
      </c>
    </row>
    <row r="302" s="54" customFormat="1" ht="13" customHeight="1" spans="1:44">
      <c r="A302" s="84" t="s">
        <v>690</v>
      </c>
      <c r="B302" s="85" t="s">
        <v>689</v>
      </c>
      <c r="C302" s="179" t="s">
        <v>349</v>
      </c>
      <c r="D302" s="80"/>
      <c r="E302" s="80"/>
      <c r="F302" s="80"/>
      <c r="G302" s="80"/>
      <c r="H302" s="80"/>
      <c r="I302" s="86">
        <v>0</v>
      </c>
      <c r="J302" s="86">
        <v>0</v>
      </c>
      <c r="K302" s="83">
        <f t="shared" si="15"/>
        <v>0</v>
      </c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  <c r="AA302" s="55"/>
      <c r="AB302" s="55"/>
      <c r="AC302" s="55"/>
      <c r="AD302" s="55"/>
      <c r="AE302" s="55"/>
      <c r="AF302" s="55"/>
      <c r="AG302" s="55"/>
      <c r="AH302" s="55"/>
      <c r="AI302" s="55"/>
      <c r="AJ302" s="55"/>
      <c r="AK302" s="55"/>
      <c r="AL302" s="55"/>
      <c r="AM302" s="55"/>
      <c r="AN302" s="55"/>
      <c r="AO302" s="55"/>
      <c r="AP302" s="55"/>
      <c r="AQ302" s="55"/>
      <c r="AR302" s="55"/>
    </row>
    <row r="303" s="54" customFormat="1" ht="14.25" spans="1:44">
      <c r="A303" s="84" t="s">
        <v>691</v>
      </c>
      <c r="B303" s="85" t="s">
        <v>689</v>
      </c>
      <c r="C303" s="179" t="s">
        <v>349</v>
      </c>
      <c r="D303" s="80"/>
      <c r="E303" s="80"/>
      <c r="F303" s="80"/>
      <c r="G303" s="80"/>
      <c r="H303" s="80"/>
      <c r="I303" s="86">
        <v>0</v>
      </c>
      <c r="J303" s="86">
        <v>0</v>
      </c>
      <c r="K303" s="83">
        <f t="shared" si="15"/>
        <v>0</v>
      </c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  <c r="AA303" s="55"/>
      <c r="AB303" s="55"/>
      <c r="AC303" s="55"/>
      <c r="AD303" s="55"/>
      <c r="AE303" s="55"/>
      <c r="AF303" s="55"/>
      <c r="AG303" s="55"/>
      <c r="AH303" s="55"/>
      <c r="AI303" s="55"/>
      <c r="AJ303" s="55"/>
      <c r="AK303" s="55"/>
      <c r="AL303" s="55"/>
      <c r="AM303" s="55"/>
      <c r="AN303" s="55"/>
      <c r="AO303" s="55"/>
      <c r="AP303" s="55"/>
      <c r="AQ303" s="55"/>
      <c r="AR303" s="55"/>
    </row>
    <row r="304" s="54" customFormat="1" ht="18" customHeight="1" spans="1:44">
      <c r="A304" s="84" t="s">
        <v>692</v>
      </c>
      <c r="B304" s="85" t="s">
        <v>689</v>
      </c>
      <c r="C304" s="179" t="s">
        <v>349</v>
      </c>
      <c r="D304" s="80"/>
      <c r="E304" s="80"/>
      <c r="F304" s="80"/>
      <c r="G304" s="80"/>
      <c r="H304" s="80"/>
      <c r="I304" s="113">
        <v>0</v>
      </c>
      <c r="J304" s="113">
        <v>0</v>
      </c>
      <c r="K304" s="114">
        <f t="shared" si="15"/>
        <v>0</v>
      </c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  <c r="AA304" s="55"/>
      <c r="AB304" s="55"/>
      <c r="AC304" s="55"/>
      <c r="AD304" s="55"/>
      <c r="AE304" s="55"/>
      <c r="AF304" s="55"/>
      <c r="AG304" s="55"/>
      <c r="AH304" s="55"/>
      <c r="AI304" s="55"/>
      <c r="AJ304" s="55"/>
      <c r="AK304" s="55"/>
      <c r="AL304" s="55"/>
      <c r="AM304" s="55"/>
      <c r="AN304" s="55"/>
      <c r="AO304" s="55"/>
      <c r="AP304" s="55"/>
      <c r="AQ304" s="55"/>
      <c r="AR304" s="55"/>
    </row>
    <row r="305" s="54" customFormat="1" ht="14.25" spans="1:44">
      <c r="A305" s="77" t="s">
        <v>693</v>
      </c>
      <c r="B305" s="78" t="s">
        <v>694</v>
      </c>
      <c r="C305" s="179" t="s">
        <v>349</v>
      </c>
      <c r="D305" s="80"/>
      <c r="E305" s="80"/>
      <c r="F305" s="81"/>
      <c r="G305" s="80"/>
      <c r="H305" s="80"/>
      <c r="I305" s="82">
        <v>0</v>
      </c>
      <c r="J305" s="82">
        <v>0</v>
      </c>
      <c r="K305" s="83">
        <f t="shared" ref="K303:K316" si="16">I305-J305</f>
        <v>0</v>
      </c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  <c r="AA305" s="55"/>
      <c r="AB305" s="55"/>
      <c r="AC305" s="55"/>
      <c r="AD305" s="55"/>
      <c r="AE305" s="55"/>
      <c r="AF305" s="55"/>
      <c r="AG305" s="55"/>
      <c r="AH305" s="55"/>
      <c r="AI305" s="55"/>
      <c r="AJ305" s="55"/>
      <c r="AK305" s="55"/>
      <c r="AL305" s="55"/>
      <c r="AM305" s="55"/>
      <c r="AN305" s="55"/>
      <c r="AO305" s="55"/>
      <c r="AP305" s="55"/>
      <c r="AQ305" s="55"/>
      <c r="AR305" s="55"/>
    </row>
    <row r="306" s="54" customFormat="1" ht="12" customHeight="1" spans="1:44">
      <c r="A306" s="77" t="s">
        <v>693</v>
      </c>
      <c r="B306" s="78" t="s">
        <v>695</v>
      </c>
      <c r="C306" s="179" t="s">
        <v>349</v>
      </c>
      <c r="D306" s="80"/>
      <c r="E306" s="80"/>
      <c r="F306" s="81"/>
      <c r="G306" s="80"/>
      <c r="H306" s="80"/>
      <c r="I306" s="82">
        <v>0</v>
      </c>
      <c r="J306" s="82">
        <v>0</v>
      </c>
      <c r="K306" s="83">
        <f t="shared" si="16"/>
        <v>0</v>
      </c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  <c r="AA306" s="55"/>
      <c r="AB306" s="55"/>
      <c r="AC306" s="55"/>
      <c r="AD306" s="55"/>
      <c r="AE306" s="55"/>
      <c r="AF306" s="55"/>
      <c r="AG306" s="55"/>
      <c r="AH306" s="55"/>
      <c r="AI306" s="55"/>
      <c r="AJ306" s="55"/>
      <c r="AK306" s="55"/>
      <c r="AL306" s="55"/>
      <c r="AM306" s="55"/>
      <c r="AN306" s="55"/>
      <c r="AO306" s="55"/>
      <c r="AP306" s="55"/>
      <c r="AQ306" s="55"/>
      <c r="AR306" s="55"/>
    </row>
    <row r="307" ht="14.25" spans="1:44">
      <c r="A307" s="77" t="s">
        <v>693</v>
      </c>
      <c r="B307" s="78" t="s">
        <v>696</v>
      </c>
      <c r="C307" s="179" t="s">
        <v>349</v>
      </c>
      <c r="D307" s="95"/>
      <c r="E307" s="80"/>
      <c r="F307" s="81"/>
      <c r="G307" s="80"/>
      <c r="H307" s="80"/>
      <c r="I307" s="82">
        <v>0</v>
      </c>
      <c r="J307" s="82">
        <v>0</v>
      </c>
      <c r="K307" s="83">
        <f t="shared" si="16"/>
        <v>0</v>
      </c>
    </row>
    <row r="308" s="54" customFormat="1" customHeight="1" spans="1:44">
      <c r="A308" s="77" t="s">
        <v>693</v>
      </c>
      <c r="B308" s="78" t="s">
        <v>697</v>
      </c>
      <c r="C308" s="179" t="s">
        <v>349</v>
      </c>
      <c r="D308" s="80"/>
      <c r="E308" s="80"/>
      <c r="F308" s="81"/>
      <c r="G308" s="80"/>
      <c r="H308" s="80"/>
      <c r="I308" s="82">
        <v>0</v>
      </c>
      <c r="J308" s="82">
        <v>0</v>
      </c>
      <c r="K308" s="83">
        <f t="shared" si="16"/>
        <v>0</v>
      </c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  <c r="AA308" s="55"/>
      <c r="AB308" s="55"/>
      <c r="AC308" s="55"/>
      <c r="AD308" s="55"/>
      <c r="AE308" s="55"/>
      <c r="AF308" s="55"/>
      <c r="AG308" s="55"/>
      <c r="AH308" s="55"/>
      <c r="AI308" s="55"/>
      <c r="AJ308" s="55"/>
      <c r="AK308" s="55"/>
      <c r="AL308" s="55"/>
      <c r="AM308" s="55"/>
      <c r="AN308" s="55"/>
      <c r="AO308" s="55"/>
      <c r="AP308" s="55"/>
      <c r="AQ308" s="55"/>
      <c r="AR308" s="55"/>
    </row>
    <row r="309" ht="14.25" spans="1:44">
      <c r="A309" s="96" t="s">
        <v>693</v>
      </c>
      <c r="B309" s="97" t="s">
        <v>698</v>
      </c>
      <c r="C309" s="191" t="s">
        <v>349</v>
      </c>
      <c r="D309" s="110">
        <v>46813</v>
      </c>
      <c r="E309" s="98">
        <v>20230302</v>
      </c>
      <c r="F309" s="99">
        <v>45450</v>
      </c>
      <c r="G309" s="98">
        <v>20</v>
      </c>
      <c r="H309" s="98">
        <v>20</v>
      </c>
      <c r="I309" s="100">
        <v>6</v>
      </c>
      <c r="J309" s="100">
        <v>0</v>
      </c>
      <c r="K309" s="101">
        <f t="shared" si="16"/>
        <v>6</v>
      </c>
    </row>
    <row r="310" customHeight="1" spans="1:44">
      <c r="A310" s="96" t="s">
        <v>693</v>
      </c>
      <c r="B310" s="97" t="s">
        <v>699</v>
      </c>
      <c r="C310" s="191" t="s">
        <v>349</v>
      </c>
      <c r="D310" s="98" t="s">
        <v>191</v>
      </c>
      <c r="E310" s="98">
        <v>20221110</v>
      </c>
      <c r="F310" s="99">
        <v>45450</v>
      </c>
      <c r="G310" s="98">
        <v>20</v>
      </c>
      <c r="H310" s="98">
        <v>20</v>
      </c>
      <c r="I310" s="100">
        <v>11</v>
      </c>
      <c r="J310" s="100">
        <v>0</v>
      </c>
      <c r="K310" s="101">
        <f t="shared" si="16"/>
        <v>11</v>
      </c>
    </row>
    <row r="311" s="54" customFormat="1" ht="14.25" spans="1:44">
      <c r="A311" s="77" t="s">
        <v>693</v>
      </c>
      <c r="B311" s="78" t="s">
        <v>700</v>
      </c>
      <c r="C311" s="179" t="s">
        <v>349</v>
      </c>
      <c r="D311" s="80"/>
      <c r="E311" s="80"/>
      <c r="F311" s="81"/>
      <c r="G311" s="80"/>
      <c r="H311" s="80"/>
      <c r="I311" s="82">
        <v>0</v>
      </c>
      <c r="J311" s="82">
        <v>0</v>
      </c>
      <c r="K311" s="83">
        <f t="shared" si="16"/>
        <v>0</v>
      </c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  <c r="AA311" s="55"/>
      <c r="AB311" s="55"/>
      <c r="AC311" s="55"/>
      <c r="AD311" s="55"/>
      <c r="AE311" s="55"/>
      <c r="AF311" s="55"/>
      <c r="AG311" s="55"/>
      <c r="AH311" s="55"/>
      <c r="AI311" s="55"/>
      <c r="AJ311" s="55"/>
      <c r="AK311" s="55"/>
      <c r="AL311" s="55"/>
      <c r="AM311" s="55"/>
      <c r="AN311" s="55"/>
      <c r="AO311" s="55"/>
      <c r="AP311" s="55"/>
      <c r="AQ311" s="55"/>
      <c r="AR311" s="55"/>
    </row>
    <row r="312" customHeight="1" spans="1:44">
      <c r="A312" s="96" t="s">
        <v>693</v>
      </c>
      <c r="B312" s="97" t="s">
        <v>701</v>
      </c>
      <c r="C312" s="191" t="s">
        <v>349</v>
      </c>
      <c r="D312" s="98" t="s">
        <v>628</v>
      </c>
      <c r="E312" s="98">
        <v>20220820</v>
      </c>
      <c r="F312" s="99">
        <v>45450</v>
      </c>
      <c r="G312" s="98">
        <v>20</v>
      </c>
      <c r="H312" s="98">
        <v>20</v>
      </c>
      <c r="I312" s="100">
        <v>14</v>
      </c>
      <c r="J312" s="100">
        <v>0</v>
      </c>
      <c r="K312" s="101">
        <f t="shared" si="16"/>
        <v>14</v>
      </c>
    </row>
    <row r="313" ht="14.25" spans="1:44">
      <c r="A313" s="96" t="s">
        <v>693</v>
      </c>
      <c r="B313" s="97" t="s">
        <v>702</v>
      </c>
      <c r="C313" s="191" t="s">
        <v>349</v>
      </c>
      <c r="D313" s="98" t="s">
        <v>628</v>
      </c>
      <c r="E313" s="98">
        <v>20230302</v>
      </c>
      <c r="F313" s="99">
        <v>45450</v>
      </c>
      <c r="G313" s="98">
        <v>20</v>
      </c>
      <c r="H313" s="98">
        <v>20</v>
      </c>
      <c r="I313" s="100">
        <v>11</v>
      </c>
      <c r="J313" s="100">
        <v>0</v>
      </c>
      <c r="K313" s="101">
        <f t="shared" si="16"/>
        <v>11</v>
      </c>
    </row>
    <row r="314" ht="16" customHeight="1" spans="1:44">
      <c r="A314" s="77" t="s">
        <v>693</v>
      </c>
      <c r="B314" s="78" t="s">
        <v>703</v>
      </c>
      <c r="C314" s="179" t="s">
        <v>349</v>
      </c>
      <c r="D314" s="79"/>
      <c r="E314" s="80"/>
      <c r="F314" s="81"/>
      <c r="G314" s="80"/>
      <c r="H314" s="80"/>
      <c r="I314" s="82">
        <v>0</v>
      </c>
      <c r="J314" s="82">
        <v>0</v>
      </c>
      <c r="K314" s="83">
        <f t="shared" si="16"/>
        <v>0</v>
      </c>
    </row>
    <row r="315" ht="14.25" spans="1:44">
      <c r="A315" s="77" t="s">
        <v>693</v>
      </c>
      <c r="B315" s="78" t="s">
        <v>704</v>
      </c>
      <c r="C315" s="179" t="s">
        <v>349</v>
      </c>
      <c r="D315" s="95"/>
      <c r="E315" s="80"/>
      <c r="F315" s="81"/>
      <c r="G315" s="80"/>
      <c r="H315" s="80"/>
      <c r="I315" s="82">
        <v>0</v>
      </c>
      <c r="J315" s="82">
        <v>0</v>
      </c>
      <c r="K315" s="83">
        <f t="shared" si="16"/>
        <v>0</v>
      </c>
    </row>
    <row r="316" s="54" customFormat="1" ht="24" customHeight="1" spans="1:44">
      <c r="A316" s="84" t="s">
        <v>705</v>
      </c>
      <c r="B316" s="85" t="s">
        <v>706</v>
      </c>
      <c r="C316" s="179" t="s">
        <v>349</v>
      </c>
      <c r="D316" s="80"/>
      <c r="E316" s="80"/>
      <c r="F316" s="80"/>
      <c r="G316" s="80"/>
      <c r="H316" s="80"/>
      <c r="I316" s="86">
        <v>0</v>
      </c>
      <c r="J316" s="86">
        <v>0</v>
      </c>
      <c r="K316" s="83">
        <f t="shared" si="16"/>
        <v>0</v>
      </c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  <c r="AA316" s="55"/>
      <c r="AB316" s="55"/>
      <c r="AC316" s="55"/>
      <c r="AD316" s="55"/>
      <c r="AE316" s="55"/>
      <c r="AF316" s="55"/>
      <c r="AG316" s="55"/>
      <c r="AH316" s="55"/>
      <c r="AI316" s="55"/>
      <c r="AJ316" s="55"/>
      <c r="AK316" s="55"/>
      <c r="AL316" s="55"/>
      <c r="AM316" s="55"/>
      <c r="AN316" s="55"/>
      <c r="AO316" s="55"/>
      <c r="AP316" s="55"/>
      <c r="AQ316" s="55"/>
      <c r="AR316" s="55"/>
    </row>
    <row r="317" ht="25.5" spans="1:44">
      <c r="A317" s="96" t="s">
        <v>707</v>
      </c>
      <c r="B317" s="97" t="s">
        <v>706</v>
      </c>
      <c r="C317" s="191" t="s">
        <v>349</v>
      </c>
      <c r="D317" s="110">
        <v>47178</v>
      </c>
      <c r="E317" s="98"/>
      <c r="F317" s="99">
        <v>45737</v>
      </c>
      <c r="G317" s="98">
        <v>60</v>
      </c>
      <c r="H317" s="98">
        <v>60</v>
      </c>
      <c r="I317" s="100">
        <v>60</v>
      </c>
      <c r="J317" s="100">
        <v>0</v>
      </c>
      <c r="K317" s="101">
        <v>60</v>
      </c>
    </row>
    <row r="318" s="54" customFormat="1" ht="18" customHeight="1" spans="1:44">
      <c r="A318" s="84" t="s">
        <v>708</v>
      </c>
      <c r="B318" s="85" t="s">
        <v>709</v>
      </c>
      <c r="C318" s="179" t="s">
        <v>349</v>
      </c>
      <c r="D318" s="80"/>
      <c r="E318" s="80"/>
      <c r="F318" s="80"/>
      <c r="G318" s="80"/>
      <c r="H318" s="80"/>
      <c r="I318" s="86">
        <v>0</v>
      </c>
      <c r="J318" s="86">
        <v>0</v>
      </c>
      <c r="K318" s="83">
        <f t="shared" ref="K318:K327" si="17">I318-J318</f>
        <v>0</v>
      </c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  <c r="AA318" s="55"/>
      <c r="AB318" s="55"/>
      <c r="AC318" s="55"/>
      <c r="AD318" s="55"/>
      <c r="AE318" s="55"/>
      <c r="AF318" s="55"/>
      <c r="AG318" s="55"/>
      <c r="AH318" s="55"/>
      <c r="AI318" s="55"/>
      <c r="AJ318" s="55"/>
      <c r="AK318" s="55"/>
      <c r="AL318" s="55"/>
      <c r="AM318" s="55"/>
      <c r="AN318" s="55"/>
      <c r="AO318" s="55"/>
      <c r="AP318" s="55"/>
      <c r="AQ318" s="55"/>
      <c r="AR318" s="55"/>
    </row>
    <row r="319" s="54" customFormat="1" ht="14.25" spans="1:44">
      <c r="A319" s="84" t="s">
        <v>710</v>
      </c>
      <c r="B319" s="85" t="s">
        <v>709</v>
      </c>
      <c r="C319" s="179" t="s">
        <v>349</v>
      </c>
      <c r="D319" s="80"/>
      <c r="E319" s="80"/>
      <c r="F319" s="80"/>
      <c r="G319" s="80"/>
      <c r="H319" s="80"/>
      <c r="I319" s="86">
        <v>0</v>
      </c>
      <c r="J319" s="86">
        <v>0</v>
      </c>
      <c r="K319" s="83">
        <f t="shared" si="17"/>
        <v>0</v>
      </c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  <c r="AA319" s="55"/>
      <c r="AB319" s="55"/>
      <c r="AC319" s="55"/>
      <c r="AD319" s="55"/>
      <c r="AE319" s="55"/>
      <c r="AF319" s="55"/>
      <c r="AG319" s="55"/>
      <c r="AH319" s="55"/>
      <c r="AI319" s="55"/>
      <c r="AJ319" s="55"/>
      <c r="AK319" s="55"/>
      <c r="AL319" s="55"/>
      <c r="AM319" s="55"/>
      <c r="AN319" s="55"/>
      <c r="AO319" s="55"/>
      <c r="AP319" s="55"/>
      <c r="AQ319" s="55"/>
      <c r="AR319" s="55"/>
    </row>
    <row r="320" s="54" customFormat="1" ht="28" customHeight="1" spans="1:44">
      <c r="A320" s="84" t="s">
        <v>711</v>
      </c>
      <c r="B320" s="78"/>
      <c r="C320" s="179" t="s">
        <v>349</v>
      </c>
      <c r="D320" s="80"/>
      <c r="E320" s="80"/>
      <c r="F320" s="80"/>
      <c r="G320" s="80"/>
      <c r="H320" s="80"/>
      <c r="I320" s="86">
        <v>0</v>
      </c>
      <c r="J320" s="86">
        <v>0</v>
      </c>
      <c r="K320" s="83">
        <f t="shared" si="17"/>
        <v>0</v>
      </c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  <c r="AA320" s="55"/>
      <c r="AB320" s="55"/>
      <c r="AC320" s="55"/>
      <c r="AD320" s="55"/>
      <c r="AE320" s="55"/>
      <c r="AF320" s="55"/>
      <c r="AG320" s="55"/>
      <c r="AH320" s="55"/>
      <c r="AI320" s="55"/>
      <c r="AJ320" s="55"/>
      <c r="AK320" s="55"/>
      <c r="AL320" s="55"/>
      <c r="AM320" s="55"/>
      <c r="AN320" s="55"/>
      <c r="AO320" s="55"/>
      <c r="AP320" s="55"/>
      <c r="AQ320" s="55"/>
      <c r="AR320" s="55"/>
    </row>
    <row r="321" ht="14" customHeight="1" spans="1:44">
      <c r="A321" s="103" t="s">
        <v>712</v>
      </c>
      <c r="B321" s="104"/>
      <c r="C321" s="181" t="s">
        <v>349</v>
      </c>
      <c r="D321" s="106"/>
      <c r="E321" s="106"/>
      <c r="F321" s="107">
        <v>46291</v>
      </c>
      <c r="G321" s="106">
        <v>100</v>
      </c>
      <c r="H321" s="106">
        <v>100</v>
      </c>
      <c r="I321" s="108">
        <v>100</v>
      </c>
      <c r="J321" s="108">
        <v>0</v>
      </c>
      <c r="K321" s="109">
        <f t="shared" si="17"/>
        <v>100</v>
      </c>
    </row>
    <row r="322" spans="1:44">
      <c r="A322" s="84" t="s">
        <v>713</v>
      </c>
      <c r="B322" s="78"/>
      <c r="C322" s="179" t="s">
        <v>349</v>
      </c>
      <c r="D322" s="95">
        <v>47392</v>
      </c>
      <c r="E322" s="80">
        <v>2411022973</v>
      </c>
      <c r="F322" s="112">
        <v>46162</v>
      </c>
      <c r="G322" s="111">
        <v>400</v>
      </c>
      <c r="H322" s="111">
        <v>400</v>
      </c>
      <c r="I322" s="113">
        <v>27</v>
      </c>
      <c r="J322" s="113">
        <v>27</v>
      </c>
      <c r="K322" s="114">
        <f t="shared" si="17"/>
        <v>0</v>
      </c>
    </row>
    <row r="323" s="54" customFormat="1" ht="14" customHeight="1" spans="1:44">
      <c r="A323" s="180" t="s">
        <v>714</v>
      </c>
      <c r="B323" s="104"/>
      <c r="C323" s="181" t="s">
        <v>349</v>
      </c>
      <c r="D323" s="106"/>
      <c r="E323" s="106"/>
      <c r="F323" s="107">
        <v>46132</v>
      </c>
      <c r="G323" s="106">
        <v>100</v>
      </c>
      <c r="H323" s="106">
        <v>100</v>
      </c>
      <c r="I323" s="122">
        <v>78</v>
      </c>
      <c r="J323" s="122">
        <v>0</v>
      </c>
      <c r="K323" s="109">
        <f t="shared" si="17"/>
        <v>78</v>
      </c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  <c r="AA323" s="55"/>
      <c r="AB323" s="55"/>
      <c r="AC323" s="55"/>
      <c r="AD323" s="55"/>
      <c r="AE323" s="55"/>
      <c r="AF323" s="55"/>
      <c r="AG323" s="55"/>
      <c r="AH323" s="55"/>
      <c r="AI323" s="55"/>
      <c r="AJ323" s="55"/>
      <c r="AK323" s="55"/>
      <c r="AL323" s="55"/>
      <c r="AM323" s="55"/>
      <c r="AN323" s="55"/>
      <c r="AO323" s="55"/>
      <c r="AP323" s="55"/>
      <c r="AQ323" s="55"/>
      <c r="AR323" s="55"/>
    </row>
    <row r="324" s="54" customFormat="1" ht="14.25" spans="1:44">
      <c r="A324" s="84" t="s">
        <v>715</v>
      </c>
      <c r="B324" s="85" t="s">
        <v>716</v>
      </c>
      <c r="C324" s="179" t="s">
        <v>349</v>
      </c>
      <c r="D324" s="80"/>
      <c r="E324" s="80"/>
      <c r="F324" s="80"/>
      <c r="G324" s="80"/>
      <c r="H324" s="80"/>
      <c r="I324" s="86">
        <v>0</v>
      </c>
      <c r="J324" s="86">
        <v>0</v>
      </c>
      <c r="K324" s="83">
        <f t="shared" si="17"/>
        <v>0</v>
      </c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  <c r="AA324" s="55"/>
      <c r="AB324" s="55"/>
      <c r="AC324" s="55"/>
      <c r="AD324" s="55"/>
      <c r="AE324" s="55"/>
      <c r="AF324" s="55"/>
      <c r="AG324" s="55"/>
      <c r="AH324" s="55"/>
      <c r="AI324" s="55"/>
      <c r="AJ324" s="55"/>
      <c r="AK324" s="55"/>
      <c r="AL324" s="55"/>
      <c r="AM324" s="55"/>
      <c r="AN324" s="55"/>
      <c r="AO324" s="55"/>
      <c r="AP324" s="55"/>
      <c r="AQ324" s="55"/>
      <c r="AR324" s="55"/>
    </row>
    <row r="325" s="54" customFormat="1" ht="14" customHeight="1" spans="1:44">
      <c r="A325" s="84" t="s">
        <v>717</v>
      </c>
      <c r="B325" s="78"/>
      <c r="C325" s="179" t="s">
        <v>349</v>
      </c>
      <c r="D325" s="80"/>
      <c r="E325" s="81"/>
      <c r="F325" s="81"/>
      <c r="G325" s="80"/>
      <c r="H325" s="80"/>
      <c r="I325" s="86">
        <v>0</v>
      </c>
      <c r="J325" s="86">
        <v>0</v>
      </c>
      <c r="K325" s="83">
        <f t="shared" si="17"/>
        <v>0</v>
      </c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  <c r="AA325" s="55"/>
      <c r="AB325" s="55"/>
      <c r="AC325" s="55"/>
      <c r="AD325" s="55"/>
      <c r="AE325" s="55"/>
      <c r="AF325" s="55"/>
      <c r="AG325" s="55"/>
      <c r="AH325" s="55"/>
      <c r="AI325" s="55"/>
      <c r="AJ325" s="55"/>
      <c r="AK325" s="55"/>
      <c r="AL325" s="55"/>
      <c r="AM325" s="55"/>
      <c r="AN325" s="55"/>
      <c r="AO325" s="55"/>
      <c r="AP325" s="55"/>
      <c r="AQ325" s="55"/>
      <c r="AR325" s="55"/>
    </row>
    <row r="326" s="54" customFormat="1" ht="14.25" spans="1:44">
      <c r="A326" s="180" t="s">
        <v>718</v>
      </c>
      <c r="B326" s="121" t="s">
        <v>719</v>
      </c>
      <c r="C326" s="181" t="s">
        <v>349</v>
      </c>
      <c r="D326" s="105">
        <v>47362</v>
      </c>
      <c r="E326" s="106">
        <v>20240915</v>
      </c>
      <c r="F326" s="107">
        <v>46132</v>
      </c>
      <c r="G326" s="106">
        <v>1000</v>
      </c>
      <c r="H326" s="106">
        <v>1000</v>
      </c>
      <c r="I326" s="122">
        <v>557</v>
      </c>
      <c r="J326" s="122">
        <v>98</v>
      </c>
      <c r="K326" s="226">
        <f t="shared" si="17"/>
        <v>459</v>
      </c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  <c r="AA326" s="55"/>
      <c r="AB326" s="55"/>
      <c r="AC326" s="55"/>
      <c r="AD326" s="55"/>
      <c r="AE326" s="55"/>
      <c r="AF326" s="55"/>
      <c r="AG326" s="55"/>
      <c r="AH326" s="55"/>
      <c r="AI326" s="55"/>
      <c r="AJ326" s="55"/>
      <c r="AK326" s="55"/>
      <c r="AL326" s="55"/>
      <c r="AM326" s="55"/>
      <c r="AN326" s="55"/>
      <c r="AO326" s="55"/>
      <c r="AP326" s="55"/>
      <c r="AQ326" s="55"/>
      <c r="AR326" s="55"/>
    </row>
    <row r="327" s="54" customFormat="1" ht="14.25" spans="1:44">
      <c r="A327" s="84" t="s">
        <v>720</v>
      </c>
      <c r="B327" s="85" t="s">
        <v>716</v>
      </c>
      <c r="C327" s="179" t="s">
        <v>349</v>
      </c>
      <c r="D327" s="80"/>
      <c r="E327" s="80"/>
      <c r="F327" s="80"/>
      <c r="G327" s="80"/>
      <c r="H327" s="80"/>
      <c r="I327" s="86">
        <v>0</v>
      </c>
      <c r="J327" s="86">
        <v>0</v>
      </c>
      <c r="K327" s="83">
        <f t="shared" si="17"/>
        <v>0</v>
      </c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  <c r="AA327" s="55"/>
      <c r="AB327" s="55"/>
      <c r="AC327" s="55"/>
      <c r="AD327" s="55"/>
      <c r="AE327" s="55"/>
      <c r="AF327" s="55"/>
      <c r="AG327" s="55"/>
      <c r="AH327" s="55"/>
      <c r="AI327" s="55"/>
      <c r="AJ327" s="55"/>
      <c r="AK327" s="55"/>
      <c r="AL327" s="55"/>
      <c r="AM327" s="55"/>
      <c r="AN327" s="55"/>
      <c r="AO327" s="55"/>
      <c r="AP327" s="55"/>
      <c r="AQ327" s="55"/>
      <c r="AR327" s="55"/>
    </row>
    <row r="328" ht="14.25" spans="1:44">
      <c r="A328" s="116" t="s">
        <v>721</v>
      </c>
      <c r="B328" s="203" t="s">
        <v>722</v>
      </c>
      <c r="C328" s="187" t="s">
        <v>349</v>
      </c>
      <c r="D328" s="232">
        <v>46569</v>
      </c>
      <c r="E328" s="188">
        <v>262208</v>
      </c>
      <c r="F328" s="99" t="s">
        <v>723</v>
      </c>
      <c r="G328" s="98">
        <v>500</v>
      </c>
      <c r="H328" s="98">
        <v>500</v>
      </c>
      <c r="I328" s="100">
        <v>100</v>
      </c>
      <c r="J328" s="100">
        <v>0</v>
      </c>
      <c r="K328" s="101">
        <v>100</v>
      </c>
    </row>
    <row r="329" ht="14.25" spans="1:44">
      <c r="A329" s="233"/>
      <c r="B329" s="234"/>
      <c r="C329" s="235"/>
      <c r="D329" s="236"/>
      <c r="E329" s="237"/>
      <c r="F329" s="99">
        <v>46043</v>
      </c>
      <c r="G329" s="98">
        <v>100</v>
      </c>
      <c r="H329" s="98">
        <v>100</v>
      </c>
      <c r="I329" s="100">
        <v>100</v>
      </c>
      <c r="J329" s="100">
        <v>0</v>
      </c>
      <c r="K329" s="101">
        <f>I329-J329</f>
        <v>100</v>
      </c>
    </row>
    <row r="330" customFormat="1" ht="14.25" spans="1:44">
      <c r="A330" s="119"/>
      <c r="B330" s="238"/>
      <c r="C330" s="239"/>
      <c r="D330" s="240"/>
      <c r="E330" s="219"/>
      <c r="F330" s="99">
        <v>46127</v>
      </c>
      <c r="G330" s="98">
        <v>200</v>
      </c>
      <c r="H330" s="98">
        <v>200</v>
      </c>
      <c r="I330" s="100">
        <v>200</v>
      </c>
      <c r="J330" s="100">
        <v>0</v>
      </c>
      <c r="K330" s="101">
        <v>200</v>
      </c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  <c r="AA330" s="55"/>
      <c r="AB330" s="55"/>
      <c r="AC330" s="55"/>
      <c r="AD330" s="55"/>
      <c r="AE330" s="55"/>
      <c r="AF330" s="55"/>
      <c r="AG330" s="55"/>
      <c r="AH330" s="55"/>
      <c r="AI330" s="55"/>
      <c r="AJ330" s="55"/>
      <c r="AK330" s="55"/>
      <c r="AL330" s="55"/>
      <c r="AM330" s="55"/>
      <c r="AN330" s="55"/>
      <c r="AO330" s="55"/>
      <c r="AP330" s="55"/>
      <c r="AQ330" s="55"/>
      <c r="AR330" s="55"/>
    </row>
    <row r="331" s="54" customFormat="1" ht="14.25" spans="1:44">
      <c r="A331" s="241" t="s">
        <v>724</v>
      </c>
      <c r="B331" s="242" t="s">
        <v>722</v>
      </c>
      <c r="C331" s="243" t="s">
        <v>349</v>
      </c>
      <c r="D331" s="244"/>
      <c r="E331" s="98"/>
      <c r="F331" s="99">
        <v>46132</v>
      </c>
      <c r="G331" s="98">
        <v>1000</v>
      </c>
      <c r="H331" s="98">
        <v>1000</v>
      </c>
      <c r="I331" s="215">
        <v>700</v>
      </c>
      <c r="J331" s="215">
        <v>0</v>
      </c>
      <c r="K331" s="109">
        <f>I331-J331</f>
        <v>700</v>
      </c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  <c r="AA331" s="55"/>
      <c r="AB331" s="55"/>
      <c r="AC331" s="55"/>
      <c r="AD331" s="55"/>
      <c r="AE331" s="55"/>
      <c r="AF331" s="55"/>
      <c r="AG331" s="55"/>
      <c r="AH331" s="55"/>
      <c r="AI331" s="55"/>
      <c r="AJ331" s="55"/>
      <c r="AK331" s="55"/>
      <c r="AL331" s="55"/>
      <c r="AM331" s="55"/>
      <c r="AN331" s="55"/>
      <c r="AO331" s="55"/>
      <c r="AP331" s="55"/>
      <c r="AQ331" s="55"/>
      <c r="AR331" s="55"/>
    </row>
    <row r="332" s="54" customFormat="1" ht="14.25" spans="1:44">
      <c r="A332" s="84" t="s">
        <v>725</v>
      </c>
      <c r="B332" s="85" t="s">
        <v>722</v>
      </c>
      <c r="C332" s="179" t="s">
        <v>349</v>
      </c>
      <c r="D332" s="80"/>
      <c r="E332" s="80"/>
      <c r="F332" s="80"/>
      <c r="G332" s="80"/>
      <c r="H332" s="80"/>
      <c r="I332" s="86">
        <v>0</v>
      </c>
      <c r="J332" s="86">
        <v>0</v>
      </c>
      <c r="K332" s="83">
        <f>I332-J332</f>
        <v>0</v>
      </c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  <c r="AA332" s="55"/>
      <c r="AB332" s="55"/>
      <c r="AC332" s="55"/>
      <c r="AD332" s="55"/>
      <c r="AE332" s="55"/>
      <c r="AF332" s="55"/>
      <c r="AG332" s="55"/>
      <c r="AH332" s="55"/>
      <c r="AI332" s="55"/>
      <c r="AJ332" s="55"/>
      <c r="AK332" s="55"/>
      <c r="AL332" s="55"/>
      <c r="AM332" s="55"/>
      <c r="AN332" s="55"/>
      <c r="AO332" s="55"/>
      <c r="AP332" s="55"/>
      <c r="AQ332" s="55"/>
      <c r="AR332" s="55"/>
    </row>
    <row r="333" s="54" customFormat="1" ht="14.25" spans="1:44">
      <c r="A333" s="84" t="s">
        <v>726</v>
      </c>
      <c r="B333" s="85" t="s">
        <v>727</v>
      </c>
      <c r="C333" s="179" t="s">
        <v>349</v>
      </c>
      <c r="D333" s="111"/>
      <c r="E333" s="80"/>
      <c r="F333" s="81"/>
      <c r="G333" s="80"/>
      <c r="H333" s="80"/>
      <c r="I333" s="86">
        <v>0</v>
      </c>
      <c r="J333" s="86">
        <v>0</v>
      </c>
      <c r="K333" s="83">
        <f>I333-J333</f>
        <v>0</v>
      </c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  <c r="AA333" s="55"/>
      <c r="AB333" s="55"/>
      <c r="AC333" s="55"/>
      <c r="AD333" s="55"/>
      <c r="AE333" s="55"/>
      <c r="AF333" s="55"/>
      <c r="AG333" s="55"/>
      <c r="AH333" s="55"/>
      <c r="AI333" s="55"/>
      <c r="AJ333" s="55"/>
      <c r="AK333" s="55"/>
      <c r="AL333" s="55"/>
      <c r="AM333" s="55"/>
      <c r="AN333" s="55"/>
      <c r="AO333" s="55"/>
      <c r="AP333" s="55"/>
      <c r="AQ333" s="55"/>
      <c r="AR333" s="55"/>
    </row>
    <row r="334" s="54" customFormat="1" ht="14.25" spans="1:44">
      <c r="A334" s="245" t="s">
        <v>728</v>
      </c>
      <c r="B334" s="246" t="s">
        <v>722</v>
      </c>
      <c r="C334" s="178" t="s">
        <v>349</v>
      </c>
      <c r="D334" s="80"/>
      <c r="E334" s="80"/>
      <c r="F334" s="81"/>
      <c r="G334" s="80"/>
      <c r="H334" s="80"/>
      <c r="I334" s="86">
        <v>0</v>
      </c>
      <c r="J334" s="86">
        <v>0</v>
      </c>
      <c r="K334" s="83">
        <v>0</v>
      </c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  <c r="AA334" s="55"/>
      <c r="AB334" s="55"/>
      <c r="AC334" s="55"/>
      <c r="AD334" s="55"/>
      <c r="AE334" s="55"/>
      <c r="AF334" s="55"/>
      <c r="AG334" s="55"/>
      <c r="AH334" s="55"/>
      <c r="AI334" s="55"/>
      <c r="AJ334" s="55"/>
      <c r="AK334" s="55"/>
      <c r="AL334" s="55"/>
      <c r="AM334" s="55"/>
      <c r="AN334" s="55"/>
      <c r="AO334" s="55"/>
      <c r="AP334" s="55"/>
      <c r="AQ334" s="55"/>
      <c r="AR334" s="55"/>
    </row>
    <row r="335" s="54" customFormat="1" ht="14.25" spans="1:44">
      <c r="A335" s="84" t="s">
        <v>729</v>
      </c>
      <c r="B335" s="85" t="s">
        <v>722</v>
      </c>
      <c r="C335" s="179" t="s">
        <v>349</v>
      </c>
      <c r="D335" s="80"/>
      <c r="E335" s="80"/>
      <c r="F335" s="80"/>
      <c r="G335" s="80"/>
      <c r="H335" s="80"/>
      <c r="I335" s="86">
        <v>0</v>
      </c>
      <c r="J335" s="86">
        <v>0</v>
      </c>
      <c r="K335" s="83">
        <f t="shared" ref="K335:K350" si="18">I335-J335</f>
        <v>0</v>
      </c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  <c r="AA335" s="55"/>
      <c r="AB335" s="55"/>
      <c r="AC335" s="55"/>
      <c r="AD335" s="55"/>
      <c r="AE335" s="55"/>
      <c r="AF335" s="55"/>
      <c r="AG335" s="55"/>
      <c r="AH335" s="55"/>
      <c r="AI335" s="55"/>
      <c r="AJ335" s="55"/>
      <c r="AK335" s="55"/>
      <c r="AL335" s="55"/>
      <c r="AM335" s="55"/>
      <c r="AN335" s="55"/>
      <c r="AO335" s="55"/>
      <c r="AP335" s="55"/>
      <c r="AQ335" s="55"/>
      <c r="AR335" s="55"/>
    </row>
    <row r="336" spans="1:44">
      <c r="A336" s="96" t="s">
        <v>730</v>
      </c>
      <c r="B336" s="97" t="s">
        <v>677</v>
      </c>
      <c r="C336" s="191" t="s">
        <v>349</v>
      </c>
      <c r="D336" s="110">
        <v>47270</v>
      </c>
      <c r="E336" s="98">
        <v>20240620</v>
      </c>
      <c r="F336" s="99">
        <v>45727</v>
      </c>
      <c r="G336" s="98">
        <v>3200</v>
      </c>
      <c r="H336" s="98">
        <v>3200</v>
      </c>
      <c r="I336" s="100">
        <v>2400</v>
      </c>
      <c r="J336" s="100">
        <v>100</v>
      </c>
      <c r="K336" s="101">
        <f t="shared" si="18"/>
        <v>2300</v>
      </c>
    </row>
    <row r="337" s="54" customFormat="1" ht="28" customHeight="1" spans="1:44">
      <c r="A337" s="84" t="s">
        <v>731</v>
      </c>
      <c r="B337" s="85" t="s">
        <v>732</v>
      </c>
      <c r="C337" s="179" t="s">
        <v>349</v>
      </c>
      <c r="D337" s="111"/>
      <c r="E337" s="111"/>
      <c r="F337" s="112"/>
      <c r="G337" s="111"/>
      <c r="H337" s="111"/>
      <c r="I337" s="86">
        <v>0</v>
      </c>
      <c r="J337" s="86">
        <v>0</v>
      </c>
      <c r="K337" s="83">
        <f t="shared" si="18"/>
        <v>0</v>
      </c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  <c r="AA337" s="55"/>
      <c r="AB337" s="55"/>
      <c r="AC337" s="55"/>
      <c r="AD337" s="55"/>
      <c r="AE337" s="55"/>
      <c r="AF337" s="55"/>
      <c r="AG337" s="55"/>
      <c r="AH337" s="55"/>
      <c r="AI337" s="55"/>
      <c r="AJ337" s="55"/>
      <c r="AK337" s="55"/>
      <c r="AL337" s="55"/>
      <c r="AM337" s="55"/>
      <c r="AN337" s="55"/>
      <c r="AO337" s="55"/>
      <c r="AP337" s="55"/>
      <c r="AQ337" s="55"/>
      <c r="AR337" s="55"/>
    </row>
    <row r="338" s="54" customFormat="1" ht="14.25" spans="1:44">
      <c r="A338" s="84" t="s">
        <v>733</v>
      </c>
      <c r="B338" s="85"/>
      <c r="C338" s="179" t="s">
        <v>349</v>
      </c>
      <c r="D338" s="129"/>
      <c r="E338" s="111"/>
      <c r="F338" s="112"/>
      <c r="G338" s="111"/>
      <c r="H338" s="111"/>
      <c r="I338" s="86">
        <v>0</v>
      </c>
      <c r="J338" s="86">
        <v>0</v>
      </c>
      <c r="K338" s="83">
        <f t="shared" si="18"/>
        <v>0</v>
      </c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  <c r="AA338" s="55"/>
      <c r="AB338" s="55"/>
      <c r="AC338" s="55"/>
      <c r="AD338" s="55"/>
      <c r="AE338" s="55"/>
      <c r="AF338" s="55"/>
      <c r="AG338" s="55"/>
      <c r="AH338" s="55"/>
      <c r="AI338" s="55"/>
      <c r="AJ338" s="55"/>
      <c r="AK338" s="55"/>
      <c r="AL338" s="55"/>
      <c r="AM338" s="55"/>
      <c r="AN338" s="55"/>
      <c r="AO338" s="55"/>
      <c r="AP338" s="55"/>
      <c r="AQ338" s="55"/>
      <c r="AR338" s="55"/>
    </row>
    <row r="339" s="54" customFormat="1" ht="14" customHeight="1" spans="1:44">
      <c r="A339" s="84" t="s">
        <v>734</v>
      </c>
      <c r="B339" s="85" t="s">
        <v>735</v>
      </c>
      <c r="C339" s="179" t="s">
        <v>349</v>
      </c>
      <c r="D339" s="80"/>
      <c r="E339" s="80"/>
      <c r="F339" s="80"/>
      <c r="G339" s="80"/>
      <c r="H339" s="80"/>
      <c r="I339" s="86">
        <v>0</v>
      </c>
      <c r="J339" s="86">
        <v>0</v>
      </c>
      <c r="K339" s="83">
        <f t="shared" si="18"/>
        <v>0</v>
      </c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  <c r="AA339" s="55"/>
      <c r="AB339" s="55"/>
      <c r="AC339" s="55"/>
      <c r="AD339" s="55"/>
      <c r="AE339" s="55"/>
      <c r="AF339" s="55"/>
      <c r="AG339" s="55"/>
      <c r="AH339" s="55"/>
      <c r="AI339" s="55"/>
      <c r="AJ339" s="55"/>
      <c r="AK339" s="55"/>
      <c r="AL339" s="55"/>
      <c r="AM339" s="55"/>
      <c r="AN339" s="55"/>
      <c r="AO339" s="55"/>
      <c r="AP339" s="55"/>
      <c r="AQ339" s="55"/>
      <c r="AR339" s="55"/>
    </row>
    <row r="340" s="54" customFormat="1" ht="14.25" spans="1:44">
      <c r="A340" s="185" t="s">
        <v>736</v>
      </c>
      <c r="B340" s="186" t="s">
        <v>737</v>
      </c>
      <c r="C340" s="187" t="s">
        <v>349</v>
      </c>
      <c r="D340" s="106" t="s">
        <v>270</v>
      </c>
      <c r="E340" s="106">
        <v>2409224</v>
      </c>
      <c r="F340" s="107">
        <v>46237</v>
      </c>
      <c r="G340" s="106">
        <v>2000</v>
      </c>
      <c r="H340" s="106">
        <v>2000</v>
      </c>
      <c r="I340" s="122">
        <v>1798</v>
      </c>
      <c r="J340" s="122">
        <v>56</v>
      </c>
      <c r="K340" s="109">
        <f t="shared" si="18"/>
        <v>1742</v>
      </c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  <c r="AA340" s="55"/>
      <c r="AB340" s="55"/>
      <c r="AC340" s="55"/>
      <c r="AD340" s="55"/>
      <c r="AE340" s="55"/>
      <c r="AF340" s="55"/>
      <c r="AG340" s="55"/>
      <c r="AH340" s="55"/>
      <c r="AI340" s="55"/>
      <c r="AJ340" s="55"/>
      <c r="AK340" s="55"/>
      <c r="AL340" s="55"/>
      <c r="AM340" s="55"/>
      <c r="AN340" s="55"/>
      <c r="AO340" s="55"/>
      <c r="AP340" s="55"/>
      <c r="AQ340" s="55"/>
      <c r="AR340" s="55"/>
    </row>
    <row r="341" s="54" customFormat="1" ht="14" customHeight="1" spans="1:44">
      <c r="A341" s="84" t="s">
        <v>738</v>
      </c>
      <c r="B341" s="85" t="s">
        <v>735</v>
      </c>
      <c r="C341" s="179" t="s">
        <v>349</v>
      </c>
      <c r="D341" s="80"/>
      <c r="E341" s="80"/>
      <c r="F341" s="80"/>
      <c r="G341" s="80"/>
      <c r="H341" s="80"/>
      <c r="I341" s="86">
        <v>0</v>
      </c>
      <c r="J341" s="86">
        <v>0</v>
      </c>
      <c r="K341" s="83">
        <f t="shared" si="18"/>
        <v>0</v>
      </c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  <c r="AA341" s="55"/>
      <c r="AB341" s="55"/>
      <c r="AC341" s="55"/>
      <c r="AD341" s="55"/>
      <c r="AE341" s="55"/>
      <c r="AF341" s="55"/>
      <c r="AG341" s="55"/>
      <c r="AH341" s="55"/>
      <c r="AI341" s="55"/>
      <c r="AJ341" s="55"/>
      <c r="AK341" s="55"/>
      <c r="AL341" s="55"/>
      <c r="AM341" s="55"/>
      <c r="AN341" s="55"/>
      <c r="AO341" s="55"/>
      <c r="AP341" s="55"/>
      <c r="AQ341" s="55"/>
      <c r="AR341" s="55"/>
    </row>
    <row r="342" s="54" customFormat="1" ht="14.25" spans="1:44">
      <c r="A342" s="84" t="s">
        <v>739</v>
      </c>
      <c r="B342" s="85" t="s">
        <v>740</v>
      </c>
      <c r="C342" s="179" t="s">
        <v>349</v>
      </c>
      <c r="D342" s="80"/>
      <c r="E342" s="80"/>
      <c r="F342" s="80"/>
      <c r="G342" s="80"/>
      <c r="H342" s="80"/>
      <c r="I342" s="86">
        <v>0</v>
      </c>
      <c r="J342" s="86">
        <v>0</v>
      </c>
      <c r="K342" s="83">
        <f t="shared" si="18"/>
        <v>0</v>
      </c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  <c r="AA342" s="55"/>
      <c r="AB342" s="55"/>
      <c r="AC342" s="55"/>
      <c r="AD342" s="55"/>
      <c r="AE342" s="55"/>
      <c r="AF342" s="55"/>
      <c r="AG342" s="55"/>
      <c r="AH342" s="55"/>
      <c r="AI342" s="55"/>
      <c r="AJ342" s="55"/>
      <c r="AK342" s="55"/>
      <c r="AL342" s="55"/>
      <c r="AM342" s="55"/>
      <c r="AN342" s="55"/>
      <c r="AO342" s="55"/>
      <c r="AP342" s="55"/>
      <c r="AQ342" s="55"/>
      <c r="AR342" s="55"/>
    </row>
    <row r="343" s="54" customFormat="1" ht="16" customHeight="1" spans="1:44">
      <c r="A343" s="84" t="s">
        <v>741</v>
      </c>
      <c r="B343" s="85" t="s">
        <v>742</v>
      </c>
      <c r="C343" s="179" t="s">
        <v>349</v>
      </c>
      <c r="D343" s="80"/>
      <c r="E343" s="80"/>
      <c r="F343" s="80"/>
      <c r="G343" s="80"/>
      <c r="H343" s="80"/>
      <c r="I343" s="86">
        <v>0</v>
      </c>
      <c r="J343" s="86">
        <v>0</v>
      </c>
      <c r="K343" s="83">
        <f t="shared" si="18"/>
        <v>0</v>
      </c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  <c r="AA343" s="55"/>
      <c r="AB343" s="55"/>
      <c r="AC343" s="55"/>
      <c r="AD343" s="55"/>
      <c r="AE343" s="55"/>
      <c r="AF343" s="55"/>
      <c r="AG343" s="55"/>
      <c r="AH343" s="55"/>
      <c r="AI343" s="55"/>
      <c r="AJ343" s="55"/>
      <c r="AK343" s="55"/>
      <c r="AL343" s="55"/>
      <c r="AM343" s="55"/>
      <c r="AN343" s="55"/>
      <c r="AO343" s="55"/>
      <c r="AP343" s="55"/>
      <c r="AQ343" s="55"/>
      <c r="AR343" s="55"/>
    </row>
    <row r="344" s="54" customFormat="1" ht="14.25" spans="1:44">
      <c r="A344" s="84" t="s">
        <v>743</v>
      </c>
      <c r="B344" s="85" t="s">
        <v>737</v>
      </c>
      <c r="C344" s="179" t="s">
        <v>349</v>
      </c>
      <c r="D344" s="80"/>
      <c r="E344" s="80"/>
      <c r="F344" s="80"/>
      <c r="G344" s="80"/>
      <c r="H344" s="80"/>
      <c r="I344" s="86">
        <v>0</v>
      </c>
      <c r="J344" s="86">
        <v>0</v>
      </c>
      <c r="K344" s="83">
        <f t="shared" si="18"/>
        <v>0</v>
      </c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  <c r="AA344" s="55"/>
      <c r="AB344" s="55"/>
      <c r="AC344" s="55"/>
      <c r="AD344" s="55"/>
      <c r="AE344" s="55"/>
      <c r="AF344" s="55"/>
      <c r="AG344" s="55"/>
      <c r="AH344" s="55"/>
      <c r="AI344" s="55"/>
      <c r="AJ344" s="55"/>
      <c r="AK344" s="55"/>
      <c r="AL344" s="55"/>
      <c r="AM344" s="55"/>
      <c r="AN344" s="55"/>
      <c r="AO344" s="55"/>
      <c r="AP344" s="55"/>
      <c r="AQ344" s="55"/>
      <c r="AR344" s="55"/>
    </row>
    <row r="345" s="54" customFormat="1" ht="14.25" spans="1:44">
      <c r="A345" s="84" t="s">
        <v>744</v>
      </c>
      <c r="B345" s="85" t="s">
        <v>745</v>
      </c>
      <c r="C345" s="179" t="s">
        <v>349</v>
      </c>
      <c r="D345" s="80"/>
      <c r="E345" s="80"/>
      <c r="F345" s="81"/>
      <c r="G345" s="80"/>
      <c r="H345" s="80"/>
      <c r="I345" s="86">
        <v>0</v>
      </c>
      <c r="J345" s="86">
        <v>0</v>
      </c>
      <c r="K345" s="83">
        <f t="shared" si="18"/>
        <v>0</v>
      </c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  <c r="AA345" s="55"/>
      <c r="AB345" s="55"/>
      <c r="AC345" s="55"/>
      <c r="AD345" s="55"/>
      <c r="AE345" s="55"/>
      <c r="AF345" s="55"/>
      <c r="AG345" s="55"/>
      <c r="AH345" s="55"/>
      <c r="AI345" s="55"/>
      <c r="AJ345" s="55"/>
      <c r="AK345" s="55"/>
      <c r="AL345" s="55"/>
      <c r="AM345" s="55"/>
      <c r="AN345" s="55"/>
      <c r="AO345" s="55"/>
      <c r="AP345" s="55"/>
      <c r="AQ345" s="55"/>
      <c r="AR345" s="55"/>
    </row>
    <row r="346" s="55" customFormat="1" ht="14.25" spans="1:44">
      <c r="A346" s="200" t="s">
        <v>746</v>
      </c>
      <c r="B346" s="201" t="s">
        <v>745</v>
      </c>
      <c r="C346" s="202" t="s">
        <v>349</v>
      </c>
      <c r="D346" s="247">
        <v>46569</v>
      </c>
      <c r="E346" s="248" t="s">
        <v>747</v>
      </c>
      <c r="F346" s="81">
        <v>46232</v>
      </c>
      <c r="G346" s="80">
        <v>450</v>
      </c>
      <c r="H346" s="80">
        <v>450</v>
      </c>
      <c r="I346" s="86">
        <v>115</v>
      </c>
      <c r="J346" s="86">
        <v>115</v>
      </c>
      <c r="K346" s="83">
        <f t="shared" si="18"/>
        <v>0</v>
      </c>
    </row>
    <row r="347" s="55" customFormat="1" ht="14" customHeight="1" spans="1:44">
      <c r="A347" s="84" t="s">
        <v>748</v>
      </c>
      <c r="B347" s="85" t="s">
        <v>749</v>
      </c>
      <c r="C347" s="179" t="s">
        <v>349</v>
      </c>
      <c r="D347" s="95"/>
      <c r="E347" s="80"/>
      <c r="F347" s="81"/>
      <c r="G347" s="80"/>
      <c r="H347" s="80"/>
      <c r="I347" s="86">
        <v>0</v>
      </c>
      <c r="J347" s="86">
        <v>0</v>
      </c>
      <c r="K347" s="83">
        <f t="shared" si="18"/>
        <v>0</v>
      </c>
    </row>
    <row r="348" s="54" customFormat="1" ht="14.25" spans="1:44">
      <c r="A348" s="84" t="s">
        <v>750</v>
      </c>
      <c r="B348" s="85" t="s">
        <v>749</v>
      </c>
      <c r="C348" s="179" t="s">
        <v>349</v>
      </c>
      <c r="D348" s="80"/>
      <c r="E348" s="80"/>
      <c r="F348" s="80"/>
      <c r="G348" s="80"/>
      <c r="H348" s="80"/>
      <c r="I348" s="86">
        <v>0</v>
      </c>
      <c r="J348" s="86">
        <v>0</v>
      </c>
      <c r="K348" s="83">
        <f t="shared" si="18"/>
        <v>0</v>
      </c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  <c r="AA348" s="55"/>
      <c r="AB348" s="55"/>
      <c r="AC348" s="55"/>
      <c r="AD348" s="55"/>
      <c r="AE348" s="55"/>
      <c r="AF348" s="55"/>
      <c r="AG348" s="55"/>
      <c r="AH348" s="55"/>
      <c r="AI348" s="55"/>
      <c r="AJ348" s="55"/>
      <c r="AK348" s="55"/>
      <c r="AL348" s="55"/>
      <c r="AM348" s="55"/>
      <c r="AN348" s="55"/>
      <c r="AO348" s="55"/>
      <c r="AP348" s="55"/>
      <c r="AQ348" s="55"/>
      <c r="AR348" s="55"/>
    </row>
    <row r="349" s="55" customFormat="1" ht="14.25" spans="1:44">
      <c r="A349" s="180" t="s">
        <v>751</v>
      </c>
      <c r="B349" s="121" t="s">
        <v>709</v>
      </c>
      <c r="C349" s="181" t="s">
        <v>349</v>
      </c>
      <c r="D349" s="106"/>
      <c r="E349" s="106"/>
      <c r="F349" s="107">
        <v>46132</v>
      </c>
      <c r="G349" s="106">
        <v>50</v>
      </c>
      <c r="H349" s="106">
        <v>50</v>
      </c>
      <c r="I349" s="122">
        <v>50</v>
      </c>
      <c r="J349" s="122">
        <v>0</v>
      </c>
      <c r="K349" s="109">
        <f t="shared" si="18"/>
        <v>50</v>
      </c>
    </row>
    <row r="350" s="55" customFormat="1" ht="14.25" spans="1:44">
      <c r="A350" s="121" t="s">
        <v>752</v>
      </c>
      <c r="B350" s="121" t="s">
        <v>709</v>
      </c>
      <c r="C350" s="181" t="s">
        <v>349</v>
      </c>
      <c r="D350" s="105" t="s">
        <v>270</v>
      </c>
      <c r="E350" s="104"/>
      <c r="F350" s="249" t="s">
        <v>753</v>
      </c>
      <c r="G350" s="106">
        <v>50</v>
      </c>
      <c r="H350" s="106">
        <v>50</v>
      </c>
      <c r="I350" s="122">
        <v>50</v>
      </c>
      <c r="J350" s="122">
        <v>0</v>
      </c>
      <c r="K350" s="108">
        <f t="shared" si="18"/>
        <v>50</v>
      </c>
    </row>
    <row r="351" s="54" customFormat="1" ht="16" customHeight="1" spans="1:44">
      <c r="A351" s="250" t="s">
        <v>752</v>
      </c>
      <c r="B351" s="251" t="s">
        <v>754</v>
      </c>
      <c r="C351" s="252" t="s">
        <v>349</v>
      </c>
      <c r="D351" s="253" t="s">
        <v>628</v>
      </c>
      <c r="E351" s="137" t="s">
        <v>755</v>
      </c>
      <c r="F351" s="254">
        <v>46232</v>
      </c>
      <c r="G351" s="137">
        <v>135</v>
      </c>
      <c r="H351" s="137">
        <v>135</v>
      </c>
      <c r="I351" s="255">
        <v>98</v>
      </c>
      <c r="J351" s="255">
        <v>2</v>
      </c>
      <c r="K351" s="256">
        <f>I351-J351</f>
        <v>96</v>
      </c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  <c r="AA351" s="55"/>
      <c r="AB351" s="55"/>
      <c r="AC351" s="55"/>
      <c r="AD351" s="55"/>
      <c r="AE351" s="55"/>
      <c r="AF351" s="55"/>
      <c r="AG351" s="55"/>
      <c r="AH351" s="55"/>
      <c r="AI351" s="55"/>
      <c r="AJ351" s="55"/>
      <c r="AK351" s="55"/>
      <c r="AL351" s="55"/>
      <c r="AM351" s="55"/>
      <c r="AN351" s="55"/>
      <c r="AO351" s="55"/>
      <c r="AP351" s="55"/>
      <c r="AQ351" s="55"/>
      <c r="AR351" s="55"/>
    </row>
    <row r="352" s="54" customFormat="1" customHeight="1" spans="1:44">
      <c r="A352" s="84" t="s">
        <v>756</v>
      </c>
      <c r="B352" s="85" t="s">
        <v>757</v>
      </c>
      <c r="C352" s="179" t="s">
        <v>349</v>
      </c>
      <c r="D352" s="80"/>
      <c r="E352" s="80"/>
      <c r="F352" s="80"/>
      <c r="G352" s="80"/>
      <c r="H352" s="80"/>
      <c r="I352" s="86">
        <v>0</v>
      </c>
      <c r="J352" s="86">
        <v>0</v>
      </c>
      <c r="K352" s="83">
        <f>I352-J352</f>
        <v>0</v>
      </c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  <c r="AA352" s="55"/>
      <c r="AB352" s="55"/>
      <c r="AC352" s="55"/>
      <c r="AD352" s="55"/>
      <c r="AE352" s="55"/>
      <c r="AF352" s="55"/>
      <c r="AG352" s="55"/>
      <c r="AH352" s="55"/>
      <c r="AI352" s="55"/>
      <c r="AJ352" s="55"/>
      <c r="AK352" s="55"/>
      <c r="AL352" s="55"/>
      <c r="AM352" s="55"/>
      <c r="AN352" s="55"/>
      <c r="AO352" s="55"/>
      <c r="AP352" s="55"/>
      <c r="AQ352" s="55"/>
      <c r="AR352" s="55"/>
    </row>
    <row r="353" s="54" customFormat="1" ht="14.25" spans="1:44">
      <c r="A353" s="84" t="s">
        <v>758</v>
      </c>
      <c r="B353" s="85" t="s">
        <v>759</v>
      </c>
      <c r="C353" s="179" t="s">
        <v>349</v>
      </c>
      <c r="D353" s="95"/>
      <c r="E353" s="80"/>
      <c r="F353" s="81"/>
      <c r="G353" s="80"/>
      <c r="H353" s="80"/>
      <c r="I353" s="86">
        <v>0</v>
      </c>
      <c r="J353" s="86">
        <v>0</v>
      </c>
      <c r="K353" s="114">
        <f>I353-J353</f>
        <v>0</v>
      </c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  <c r="AA353" s="55"/>
      <c r="AB353" s="55"/>
      <c r="AC353" s="55"/>
      <c r="AD353" s="55"/>
      <c r="AE353" s="55"/>
      <c r="AF353" s="55"/>
      <c r="AG353" s="55"/>
      <c r="AH353" s="55"/>
      <c r="AI353" s="55"/>
      <c r="AJ353" s="55"/>
      <c r="AK353" s="55"/>
      <c r="AL353" s="55"/>
      <c r="AM353" s="55"/>
      <c r="AN353" s="55"/>
      <c r="AO353" s="55"/>
      <c r="AP353" s="55"/>
      <c r="AQ353" s="55"/>
      <c r="AR353" s="55"/>
    </row>
    <row r="354" s="54" customFormat="1" ht="18" customHeight="1" spans="1:44">
      <c r="A354" s="180" t="s">
        <v>760</v>
      </c>
      <c r="B354" s="121" t="s">
        <v>757</v>
      </c>
      <c r="C354" s="181" t="s">
        <v>349</v>
      </c>
      <c r="D354" s="257"/>
      <c r="E354" s="106"/>
      <c r="F354" s="107">
        <v>46132</v>
      </c>
      <c r="G354" s="106">
        <v>250</v>
      </c>
      <c r="H354" s="106">
        <v>250</v>
      </c>
      <c r="I354" s="122">
        <v>167</v>
      </c>
      <c r="J354" s="122">
        <v>0</v>
      </c>
      <c r="K354" s="109">
        <f>I354-J354</f>
        <v>167</v>
      </c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  <c r="AA354" s="55"/>
      <c r="AB354" s="55"/>
      <c r="AC354" s="55"/>
      <c r="AD354" s="55"/>
      <c r="AE354" s="55"/>
      <c r="AF354" s="55"/>
      <c r="AG354" s="55"/>
      <c r="AH354" s="55"/>
      <c r="AI354" s="55"/>
      <c r="AJ354" s="55"/>
      <c r="AK354" s="55"/>
      <c r="AL354" s="55"/>
      <c r="AM354" s="55"/>
      <c r="AN354" s="55"/>
      <c r="AO354" s="55"/>
      <c r="AP354" s="55"/>
      <c r="AQ354" s="55"/>
      <c r="AR354" s="55"/>
    </row>
    <row r="355" ht="12" customHeight="1" spans="1:44">
      <c r="A355" s="258" t="s">
        <v>761</v>
      </c>
      <c r="B355" s="259" t="s">
        <v>759</v>
      </c>
      <c r="C355" s="187" t="s">
        <v>349</v>
      </c>
      <c r="D355" s="260">
        <v>47239</v>
      </c>
      <c r="E355" s="261">
        <v>240615</v>
      </c>
      <c r="F355" s="262">
        <v>45551</v>
      </c>
      <c r="G355" s="263">
        <v>200</v>
      </c>
      <c r="H355" s="263">
        <v>200</v>
      </c>
      <c r="I355" s="264">
        <v>48</v>
      </c>
      <c r="J355" s="264">
        <v>0</v>
      </c>
      <c r="K355" s="265">
        <f>I355-J355</f>
        <v>48</v>
      </c>
    </row>
    <row r="356" customFormat="1" ht="14.25" spans="1:44">
      <c r="A356" s="266"/>
      <c r="B356" s="267"/>
      <c r="C356" s="235"/>
      <c r="D356" s="268"/>
      <c r="E356" s="269"/>
      <c r="F356" s="262">
        <v>46127</v>
      </c>
      <c r="G356" s="263">
        <v>50</v>
      </c>
      <c r="H356" s="263">
        <v>50</v>
      </c>
      <c r="I356" s="264">
        <v>50</v>
      </c>
      <c r="J356" s="264">
        <v>0</v>
      </c>
      <c r="K356" s="265">
        <v>50</v>
      </c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  <c r="AA356" s="55"/>
      <c r="AB356" s="55"/>
      <c r="AC356" s="55"/>
      <c r="AD356" s="55"/>
      <c r="AE356" s="55"/>
      <c r="AF356" s="55"/>
      <c r="AG356" s="55"/>
      <c r="AH356" s="55"/>
      <c r="AI356" s="55"/>
      <c r="AJ356" s="55"/>
      <c r="AK356" s="55"/>
      <c r="AL356" s="55"/>
      <c r="AM356" s="55"/>
      <c r="AN356" s="55"/>
      <c r="AO356" s="55"/>
      <c r="AP356" s="55"/>
      <c r="AQ356" s="55"/>
      <c r="AR356" s="55"/>
    </row>
    <row r="357" customFormat="1" ht="14.25" spans="1:44">
      <c r="A357" s="270"/>
      <c r="B357" s="271"/>
      <c r="C357" s="239"/>
      <c r="D357" s="272" t="s">
        <v>421</v>
      </c>
      <c r="E357" s="272">
        <v>230310</v>
      </c>
      <c r="F357" s="107">
        <v>46232</v>
      </c>
      <c r="G357" s="106">
        <v>100</v>
      </c>
      <c r="H357" s="106">
        <v>100</v>
      </c>
      <c r="I357" s="122">
        <v>100</v>
      </c>
      <c r="J357" s="122">
        <v>0</v>
      </c>
      <c r="K357" s="109">
        <v>100</v>
      </c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  <c r="AA357" s="55"/>
      <c r="AB357" s="55"/>
      <c r="AC357" s="55"/>
      <c r="AD357" s="55"/>
      <c r="AE357" s="55"/>
      <c r="AF357" s="55"/>
      <c r="AG357" s="55"/>
      <c r="AH357" s="55"/>
      <c r="AI357" s="55"/>
      <c r="AJ357" s="55"/>
      <c r="AK357" s="55"/>
      <c r="AL357" s="55"/>
      <c r="AM357" s="55"/>
      <c r="AN357" s="55"/>
      <c r="AO357" s="55"/>
      <c r="AP357" s="55"/>
      <c r="AQ357" s="55"/>
      <c r="AR357" s="55"/>
    </row>
    <row r="358" customHeight="1" spans="1:44">
      <c r="A358" s="84" t="s">
        <v>762</v>
      </c>
      <c r="B358" s="85" t="s">
        <v>757</v>
      </c>
      <c r="C358" s="179" t="s">
        <v>349</v>
      </c>
      <c r="D358" s="111"/>
      <c r="E358" s="111"/>
      <c r="F358" s="81"/>
      <c r="G358" s="80"/>
      <c r="H358" s="80"/>
      <c r="I358" s="86">
        <v>0</v>
      </c>
      <c r="J358" s="86">
        <v>0</v>
      </c>
      <c r="K358" s="83">
        <f>I358-J358</f>
        <v>0</v>
      </c>
    </row>
    <row r="359" s="54" customFormat="1" customHeight="1" spans="1:44">
      <c r="A359" s="273" t="s">
        <v>763</v>
      </c>
      <c r="B359" s="274" t="s">
        <v>759</v>
      </c>
      <c r="C359" s="275" t="s">
        <v>349</v>
      </c>
      <c r="D359" s="106" t="s">
        <v>764</v>
      </c>
      <c r="E359" s="106">
        <v>240615</v>
      </c>
      <c r="F359" s="107">
        <v>46232</v>
      </c>
      <c r="G359" s="106">
        <v>100</v>
      </c>
      <c r="H359" s="106">
        <v>100</v>
      </c>
      <c r="I359" s="122">
        <v>94</v>
      </c>
      <c r="J359" s="122">
        <v>4</v>
      </c>
      <c r="K359" s="109">
        <f>I359-J359</f>
        <v>90</v>
      </c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  <c r="AA359" s="55"/>
      <c r="AB359" s="55"/>
      <c r="AC359" s="55"/>
      <c r="AD359" s="55"/>
      <c r="AE359" s="55"/>
      <c r="AF359" s="55"/>
      <c r="AG359" s="55"/>
      <c r="AH359" s="55"/>
      <c r="AI359" s="55"/>
      <c r="AJ359" s="55"/>
      <c r="AK359" s="55"/>
      <c r="AL359" s="55"/>
      <c r="AM359" s="55"/>
      <c r="AN359" s="55"/>
      <c r="AO359" s="55"/>
      <c r="AP359" s="55"/>
      <c r="AQ359" s="55"/>
      <c r="AR359" s="55"/>
    </row>
    <row r="360" s="55" customFormat="1" customHeight="1" spans="1:44">
      <c r="A360" s="84" t="s">
        <v>765</v>
      </c>
      <c r="B360" s="85" t="s">
        <v>742</v>
      </c>
      <c r="C360" s="179" t="s">
        <v>349</v>
      </c>
      <c r="D360" s="276"/>
      <c r="E360" s="80"/>
      <c r="F360" s="81"/>
      <c r="G360" s="80"/>
      <c r="H360" s="80"/>
      <c r="I360" s="86">
        <v>0</v>
      </c>
      <c r="J360" s="86">
        <v>0</v>
      </c>
      <c r="K360" s="83">
        <f>I360-J360</f>
        <v>0</v>
      </c>
    </row>
    <row r="361" s="54" customFormat="1" ht="14" customHeight="1" spans="1:44">
      <c r="A361" s="84" t="s">
        <v>766</v>
      </c>
      <c r="B361" s="85" t="s">
        <v>742</v>
      </c>
      <c r="C361" s="179" t="s">
        <v>349</v>
      </c>
      <c r="D361" s="80"/>
      <c r="E361" s="80"/>
      <c r="F361" s="80"/>
      <c r="G361" s="80"/>
      <c r="H361" s="80"/>
      <c r="I361" s="86">
        <v>0</v>
      </c>
      <c r="J361" s="86">
        <v>0</v>
      </c>
      <c r="K361" s="83">
        <f t="shared" ref="K361:K370" si="19">I361-J361</f>
        <v>0</v>
      </c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  <c r="AA361" s="55"/>
      <c r="AB361" s="55"/>
      <c r="AC361" s="55"/>
      <c r="AD361" s="55"/>
      <c r="AE361" s="55"/>
      <c r="AF361" s="55"/>
      <c r="AG361" s="55"/>
      <c r="AH361" s="55"/>
      <c r="AI361" s="55"/>
      <c r="AJ361" s="55"/>
      <c r="AK361" s="55"/>
      <c r="AL361" s="55"/>
      <c r="AM361" s="55"/>
      <c r="AN361" s="55"/>
      <c r="AO361" s="55"/>
      <c r="AP361" s="55"/>
      <c r="AQ361" s="55"/>
      <c r="AR361" s="55"/>
    </row>
    <row r="362" s="54" customFormat="1" ht="14.25" spans="1:44">
      <c r="A362" s="180" t="s">
        <v>767</v>
      </c>
      <c r="B362" s="104"/>
      <c r="C362" s="181" t="s">
        <v>349</v>
      </c>
      <c r="D362" s="105" t="s">
        <v>586</v>
      </c>
      <c r="E362" s="106">
        <v>20231010</v>
      </c>
      <c r="F362" s="107">
        <v>46232</v>
      </c>
      <c r="G362" s="106">
        <v>36</v>
      </c>
      <c r="H362" s="106">
        <v>36</v>
      </c>
      <c r="I362" s="122">
        <v>16</v>
      </c>
      <c r="J362" s="122">
        <v>4</v>
      </c>
      <c r="K362" s="109">
        <f t="shared" si="19"/>
        <v>12</v>
      </c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  <c r="AA362" s="55"/>
      <c r="AB362" s="55"/>
      <c r="AC362" s="55"/>
      <c r="AD362" s="55"/>
      <c r="AE362" s="55"/>
      <c r="AF362" s="55"/>
      <c r="AG362" s="55"/>
      <c r="AH362" s="55"/>
      <c r="AI362" s="55"/>
      <c r="AJ362" s="55"/>
      <c r="AK362" s="55"/>
      <c r="AL362" s="55"/>
      <c r="AM362" s="55"/>
      <c r="AN362" s="55"/>
      <c r="AO362" s="55"/>
      <c r="AP362" s="55"/>
      <c r="AQ362" s="55"/>
      <c r="AR362" s="55"/>
    </row>
    <row r="363" s="54" customFormat="1" customHeight="1" spans="1:44">
      <c r="A363" s="84" t="s">
        <v>768</v>
      </c>
      <c r="B363" s="78"/>
      <c r="C363" s="179" t="s">
        <v>349</v>
      </c>
      <c r="D363" s="80"/>
      <c r="E363" s="80"/>
      <c r="F363" s="80"/>
      <c r="G363" s="80"/>
      <c r="H363" s="80"/>
      <c r="I363" s="86">
        <v>0</v>
      </c>
      <c r="J363" s="86">
        <v>0</v>
      </c>
      <c r="K363" s="83">
        <f t="shared" si="19"/>
        <v>0</v>
      </c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  <c r="AA363" s="55"/>
      <c r="AB363" s="55"/>
      <c r="AC363" s="55"/>
      <c r="AD363" s="55"/>
      <c r="AE363" s="55"/>
      <c r="AF363" s="55"/>
      <c r="AG363" s="55"/>
      <c r="AH363" s="55"/>
      <c r="AI363" s="55"/>
      <c r="AJ363" s="55"/>
      <c r="AK363" s="55"/>
      <c r="AL363" s="55"/>
      <c r="AM363" s="55"/>
      <c r="AN363" s="55"/>
      <c r="AO363" s="55"/>
      <c r="AP363" s="55"/>
      <c r="AQ363" s="55"/>
      <c r="AR363" s="55"/>
    </row>
    <row r="364" s="54" customFormat="1" ht="14.25" spans="1:44">
      <c r="A364" s="84" t="s">
        <v>769</v>
      </c>
      <c r="B364" s="78"/>
      <c r="C364" s="179" t="s">
        <v>349</v>
      </c>
      <c r="D364" s="80"/>
      <c r="E364" s="80"/>
      <c r="F364" s="81"/>
      <c r="G364" s="80"/>
      <c r="H364" s="80"/>
      <c r="I364" s="86">
        <v>0</v>
      </c>
      <c r="J364" s="86">
        <v>0</v>
      </c>
      <c r="K364" s="83">
        <f t="shared" si="19"/>
        <v>0</v>
      </c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  <c r="AA364" s="55"/>
      <c r="AB364" s="55"/>
      <c r="AC364" s="55"/>
      <c r="AD364" s="55"/>
      <c r="AE364" s="55"/>
      <c r="AF364" s="55"/>
      <c r="AG364" s="55"/>
      <c r="AH364" s="55"/>
      <c r="AI364" s="55"/>
      <c r="AJ364" s="55"/>
      <c r="AK364" s="55"/>
      <c r="AL364" s="55"/>
      <c r="AM364" s="55"/>
      <c r="AN364" s="55"/>
      <c r="AO364" s="55"/>
      <c r="AP364" s="55"/>
      <c r="AQ364" s="55"/>
      <c r="AR364" s="55"/>
    </row>
    <row r="365" s="54" customFormat="1" ht="16" customHeight="1" spans="1:44">
      <c r="A365" s="84" t="s">
        <v>770</v>
      </c>
      <c r="B365" s="85" t="s">
        <v>722</v>
      </c>
      <c r="C365" s="179" t="s">
        <v>349</v>
      </c>
      <c r="D365" s="80"/>
      <c r="E365" s="80"/>
      <c r="F365" s="80"/>
      <c r="G365" s="80"/>
      <c r="H365" s="80"/>
      <c r="I365" s="86">
        <v>0</v>
      </c>
      <c r="J365" s="86">
        <v>0</v>
      </c>
      <c r="K365" s="83">
        <f t="shared" si="19"/>
        <v>0</v>
      </c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  <c r="AA365" s="55"/>
      <c r="AB365" s="55"/>
      <c r="AC365" s="55"/>
      <c r="AD365" s="55"/>
      <c r="AE365" s="55"/>
      <c r="AF365" s="55"/>
      <c r="AG365" s="55"/>
      <c r="AH365" s="55"/>
      <c r="AI365" s="55"/>
      <c r="AJ365" s="55"/>
      <c r="AK365" s="55"/>
      <c r="AL365" s="55"/>
      <c r="AM365" s="55"/>
      <c r="AN365" s="55"/>
      <c r="AO365" s="55"/>
      <c r="AP365" s="55"/>
      <c r="AQ365" s="55"/>
      <c r="AR365" s="55"/>
    </row>
    <row r="366" s="54" customFormat="1" ht="14.25" spans="1:44">
      <c r="A366" s="84" t="s">
        <v>771</v>
      </c>
      <c r="B366" s="85" t="s">
        <v>722</v>
      </c>
      <c r="C366" s="179" t="s">
        <v>349</v>
      </c>
      <c r="D366" s="80"/>
      <c r="E366" s="80"/>
      <c r="F366" s="81"/>
      <c r="G366" s="80"/>
      <c r="H366" s="80"/>
      <c r="I366" s="86">
        <v>0</v>
      </c>
      <c r="J366" s="86">
        <v>0</v>
      </c>
      <c r="K366" s="83">
        <f t="shared" si="19"/>
        <v>0</v>
      </c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  <c r="AA366" s="55"/>
      <c r="AB366" s="55"/>
      <c r="AC366" s="55"/>
      <c r="AD366" s="55"/>
      <c r="AE366" s="55"/>
      <c r="AF366" s="55"/>
      <c r="AG366" s="55"/>
      <c r="AH366" s="55"/>
      <c r="AI366" s="55"/>
      <c r="AJ366" s="55"/>
      <c r="AK366" s="55"/>
      <c r="AL366" s="55"/>
      <c r="AM366" s="55"/>
      <c r="AN366" s="55"/>
      <c r="AO366" s="55"/>
      <c r="AP366" s="55"/>
      <c r="AQ366" s="55"/>
      <c r="AR366" s="55"/>
    </row>
    <row r="367" s="54" customFormat="1" ht="28" customHeight="1" spans="1:44">
      <c r="A367" s="84" t="s">
        <v>772</v>
      </c>
      <c r="B367" s="85" t="s">
        <v>732</v>
      </c>
      <c r="C367" s="179" t="s">
        <v>349</v>
      </c>
      <c r="D367" s="80"/>
      <c r="E367" s="80"/>
      <c r="F367" s="80"/>
      <c r="G367" s="80"/>
      <c r="H367" s="80"/>
      <c r="I367" s="86">
        <v>0</v>
      </c>
      <c r="J367" s="86">
        <v>0</v>
      </c>
      <c r="K367" s="83">
        <f t="shared" si="19"/>
        <v>0</v>
      </c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  <c r="AA367" s="55"/>
      <c r="AB367" s="55"/>
      <c r="AC367" s="55"/>
      <c r="AD367" s="55"/>
      <c r="AE367" s="55"/>
      <c r="AF367" s="55"/>
      <c r="AG367" s="55"/>
      <c r="AH367" s="55"/>
      <c r="AI367" s="55"/>
      <c r="AJ367" s="55"/>
      <c r="AK367" s="55"/>
      <c r="AL367" s="55"/>
      <c r="AM367" s="55"/>
      <c r="AN367" s="55"/>
      <c r="AO367" s="55"/>
      <c r="AP367" s="55"/>
      <c r="AQ367" s="55"/>
      <c r="AR367" s="55"/>
    </row>
    <row r="368" ht="12" customHeight="1" spans="1:44">
      <c r="A368" s="103" t="s">
        <v>773</v>
      </c>
      <c r="B368" s="104" t="s">
        <v>709</v>
      </c>
      <c r="C368" s="181" t="s">
        <v>349</v>
      </c>
      <c r="D368" s="105"/>
      <c r="E368" s="106"/>
      <c r="F368" s="107">
        <v>46132</v>
      </c>
      <c r="G368" s="106">
        <v>50</v>
      </c>
      <c r="H368" s="106">
        <v>50</v>
      </c>
      <c r="I368" s="108">
        <v>33</v>
      </c>
      <c r="J368" s="108">
        <v>0</v>
      </c>
      <c r="K368" s="109">
        <f t="shared" si="19"/>
        <v>33</v>
      </c>
    </row>
    <row r="369" ht="16" customHeight="1" spans="1:44">
      <c r="A369" s="96" t="s">
        <v>774</v>
      </c>
      <c r="B369" s="97" t="s">
        <v>709</v>
      </c>
      <c r="C369" s="191" t="s">
        <v>349</v>
      </c>
      <c r="D369" s="98" t="s">
        <v>285</v>
      </c>
      <c r="E369" s="98">
        <v>240125</v>
      </c>
      <c r="F369" s="99">
        <v>45551</v>
      </c>
      <c r="G369" s="98">
        <v>200</v>
      </c>
      <c r="H369" s="98">
        <v>200</v>
      </c>
      <c r="I369" s="100">
        <v>161</v>
      </c>
      <c r="J369" s="100">
        <v>0</v>
      </c>
      <c r="K369" s="101">
        <f t="shared" si="19"/>
        <v>161</v>
      </c>
    </row>
    <row r="370" spans="1:44">
      <c r="A370" s="116" t="s">
        <v>775</v>
      </c>
      <c r="B370" s="203" t="s">
        <v>709</v>
      </c>
      <c r="C370" s="187" t="s">
        <v>349</v>
      </c>
      <c r="D370" s="188" t="s">
        <v>641</v>
      </c>
      <c r="E370" s="188" t="s">
        <v>776</v>
      </c>
      <c r="F370" s="99">
        <v>45551</v>
      </c>
      <c r="G370" s="98">
        <v>200</v>
      </c>
      <c r="H370" s="98">
        <v>200</v>
      </c>
      <c r="I370" s="100">
        <v>78</v>
      </c>
      <c r="J370" s="100">
        <v>4</v>
      </c>
      <c r="K370" s="101">
        <f t="shared" si="19"/>
        <v>74</v>
      </c>
    </row>
    <row r="371" ht="12" customHeight="1" spans="1:44">
      <c r="A371" s="119"/>
      <c r="B371" s="238"/>
      <c r="C371" s="239"/>
      <c r="D371" s="219"/>
      <c r="E371" s="219"/>
      <c r="F371" s="99">
        <v>46132</v>
      </c>
      <c r="G371" s="98">
        <v>34</v>
      </c>
      <c r="H371" s="98">
        <v>34</v>
      </c>
      <c r="I371" s="100">
        <v>34</v>
      </c>
      <c r="J371" s="100">
        <v>0</v>
      </c>
      <c r="K371" s="101">
        <v>34</v>
      </c>
    </row>
    <row r="372" s="55" customFormat="1" ht="14.25" spans="1:44">
      <c r="A372" s="277" t="s">
        <v>777</v>
      </c>
      <c r="B372" s="278" t="s">
        <v>778</v>
      </c>
      <c r="C372" s="202" t="s">
        <v>349</v>
      </c>
      <c r="D372" s="279"/>
      <c r="E372" s="248"/>
      <c r="F372" s="81"/>
      <c r="G372" s="80"/>
      <c r="H372" s="80"/>
      <c r="I372" s="86">
        <v>0</v>
      </c>
      <c r="J372" s="86">
        <v>0</v>
      </c>
      <c r="K372" s="83">
        <f>I372-J372</f>
        <v>0</v>
      </c>
    </row>
    <row r="373" s="54" customFormat="1" ht="14.25" spans="1:44">
      <c r="A373" s="84" t="s">
        <v>779</v>
      </c>
      <c r="B373" s="85" t="s">
        <v>709</v>
      </c>
      <c r="C373" s="179" t="s">
        <v>349</v>
      </c>
      <c r="D373" s="80"/>
      <c r="E373" s="80"/>
      <c r="F373" s="80"/>
      <c r="G373" s="80"/>
      <c r="H373" s="80"/>
      <c r="I373" s="86">
        <v>0</v>
      </c>
      <c r="J373" s="86">
        <v>0</v>
      </c>
      <c r="K373" s="83">
        <f t="shared" ref="K373:K385" si="20">I373-J373</f>
        <v>0</v>
      </c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  <c r="AA373" s="55"/>
      <c r="AB373" s="55"/>
      <c r="AC373" s="55"/>
      <c r="AD373" s="55"/>
      <c r="AE373" s="55"/>
      <c r="AF373" s="55"/>
      <c r="AG373" s="55"/>
      <c r="AH373" s="55"/>
      <c r="AI373" s="55"/>
      <c r="AJ373" s="55"/>
      <c r="AK373" s="55"/>
      <c r="AL373" s="55"/>
      <c r="AM373" s="55"/>
      <c r="AN373" s="55"/>
      <c r="AO373" s="55"/>
      <c r="AP373" s="55"/>
      <c r="AQ373" s="55"/>
      <c r="AR373" s="55"/>
    </row>
    <row r="374" s="54" customFormat="1" customHeight="1" spans="1:44">
      <c r="A374" s="84" t="s">
        <v>780</v>
      </c>
      <c r="B374" s="85" t="s">
        <v>781</v>
      </c>
      <c r="C374" s="179" t="s">
        <v>349</v>
      </c>
      <c r="D374" s="80"/>
      <c r="E374" s="80"/>
      <c r="F374" s="80"/>
      <c r="G374" s="80"/>
      <c r="H374" s="80"/>
      <c r="I374" s="86">
        <v>0</v>
      </c>
      <c r="J374" s="86">
        <v>0</v>
      </c>
      <c r="K374" s="83">
        <f t="shared" si="20"/>
        <v>0</v>
      </c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  <c r="AA374" s="55"/>
      <c r="AB374" s="55"/>
      <c r="AC374" s="55"/>
      <c r="AD374" s="55"/>
      <c r="AE374" s="55"/>
      <c r="AF374" s="55"/>
      <c r="AG374" s="55"/>
      <c r="AH374" s="55"/>
      <c r="AI374" s="55"/>
      <c r="AJ374" s="55"/>
      <c r="AK374" s="55"/>
      <c r="AL374" s="55"/>
      <c r="AM374" s="55"/>
      <c r="AN374" s="55"/>
      <c r="AO374" s="55"/>
      <c r="AP374" s="55"/>
      <c r="AQ374" s="55"/>
      <c r="AR374" s="55"/>
    </row>
    <row r="375" s="54" customFormat="1" ht="14.25" spans="1:44">
      <c r="A375" s="84" t="s">
        <v>782</v>
      </c>
      <c r="B375" s="85" t="s">
        <v>781</v>
      </c>
      <c r="C375" s="179" t="s">
        <v>349</v>
      </c>
      <c r="D375" s="80"/>
      <c r="E375" s="80"/>
      <c r="F375" s="80"/>
      <c r="G375" s="80"/>
      <c r="H375" s="80"/>
      <c r="I375" s="86">
        <v>0</v>
      </c>
      <c r="J375" s="86">
        <v>0</v>
      </c>
      <c r="K375" s="83">
        <f t="shared" si="20"/>
        <v>0</v>
      </c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  <c r="AA375" s="55"/>
      <c r="AB375" s="55"/>
      <c r="AC375" s="55"/>
      <c r="AD375" s="55"/>
      <c r="AE375" s="55"/>
      <c r="AF375" s="55"/>
      <c r="AG375" s="55"/>
      <c r="AH375" s="55"/>
      <c r="AI375" s="55"/>
      <c r="AJ375" s="55"/>
      <c r="AK375" s="55"/>
      <c r="AL375" s="55"/>
      <c r="AM375" s="55"/>
      <c r="AN375" s="55"/>
      <c r="AO375" s="55"/>
      <c r="AP375" s="55"/>
      <c r="AQ375" s="55"/>
      <c r="AR375" s="55"/>
    </row>
    <row r="376" s="54" customFormat="1" customHeight="1" spans="1:44">
      <c r="A376" s="84" t="s">
        <v>783</v>
      </c>
      <c r="B376" s="85" t="s">
        <v>781</v>
      </c>
      <c r="C376" s="179" t="s">
        <v>349</v>
      </c>
      <c r="D376" s="80"/>
      <c r="E376" s="80"/>
      <c r="F376" s="80"/>
      <c r="G376" s="80"/>
      <c r="H376" s="80"/>
      <c r="I376" s="86">
        <v>0</v>
      </c>
      <c r="J376" s="86">
        <v>0</v>
      </c>
      <c r="K376" s="83">
        <f t="shared" si="20"/>
        <v>0</v>
      </c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  <c r="AA376" s="55"/>
      <c r="AB376" s="55"/>
      <c r="AC376" s="55"/>
      <c r="AD376" s="55"/>
      <c r="AE376" s="55"/>
      <c r="AF376" s="55"/>
      <c r="AG376" s="55"/>
      <c r="AH376" s="55"/>
      <c r="AI376" s="55"/>
      <c r="AJ376" s="55"/>
      <c r="AK376" s="55"/>
      <c r="AL376" s="55"/>
      <c r="AM376" s="55"/>
      <c r="AN376" s="55"/>
      <c r="AO376" s="55"/>
      <c r="AP376" s="55"/>
      <c r="AQ376" s="55"/>
      <c r="AR376" s="55"/>
    </row>
    <row r="377" s="54" customFormat="1" ht="14.25" spans="1:44">
      <c r="A377" s="84" t="s">
        <v>784</v>
      </c>
      <c r="B377" s="85" t="s">
        <v>677</v>
      </c>
      <c r="C377" s="179" t="s">
        <v>349</v>
      </c>
      <c r="D377" s="80"/>
      <c r="E377" s="80"/>
      <c r="F377" s="80"/>
      <c r="G377" s="80"/>
      <c r="H377" s="80"/>
      <c r="I377" s="86">
        <v>0</v>
      </c>
      <c r="J377" s="86">
        <v>0</v>
      </c>
      <c r="K377" s="83">
        <f t="shared" si="20"/>
        <v>0</v>
      </c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  <c r="AA377" s="55"/>
      <c r="AB377" s="55"/>
      <c r="AC377" s="55"/>
      <c r="AD377" s="55"/>
      <c r="AE377" s="55"/>
      <c r="AF377" s="55"/>
      <c r="AG377" s="55"/>
      <c r="AH377" s="55"/>
      <c r="AI377" s="55"/>
      <c r="AJ377" s="55"/>
      <c r="AK377" s="55"/>
      <c r="AL377" s="55"/>
      <c r="AM377" s="55"/>
      <c r="AN377" s="55"/>
      <c r="AO377" s="55"/>
      <c r="AP377" s="55"/>
      <c r="AQ377" s="55"/>
      <c r="AR377" s="55"/>
    </row>
    <row r="378" s="54" customFormat="1" ht="14.25" spans="1:44">
      <c r="A378" s="84" t="s">
        <v>785</v>
      </c>
      <c r="B378" s="85" t="s">
        <v>677</v>
      </c>
      <c r="C378" s="179" t="s">
        <v>349</v>
      </c>
      <c r="D378" s="80"/>
      <c r="E378" s="80"/>
      <c r="F378" s="80"/>
      <c r="G378" s="80"/>
      <c r="H378" s="80"/>
      <c r="I378" s="86">
        <v>0</v>
      </c>
      <c r="J378" s="86">
        <v>0</v>
      </c>
      <c r="K378" s="83">
        <f t="shared" si="20"/>
        <v>0</v>
      </c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  <c r="AA378" s="55"/>
      <c r="AB378" s="55"/>
      <c r="AC378" s="55"/>
      <c r="AD378" s="55"/>
      <c r="AE378" s="55"/>
      <c r="AF378" s="55"/>
      <c r="AG378" s="55"/>
      <c r="AH378" s="55"/>
      <c r="AI378" s="55"/>
      <c r="AJ378" s="55"/>
      <c r="AK378" s="55"/>
      <c r="AL378" s="55"/>
      <c r="AM378" s="55"/>
      <c r="AN378" s="55"/>
      <c r="AO378" s="55"/>
      <c r="AP378" s="55"/>
      <c r="AQ378" s="55"/>
      <c r="AR378" s="55"/>
    </row>
    <row r="379" s="54" customFormat="1" ht="14.25" spans="1:44">
      <c r="A379" s="84" t="s">
        <v>786</v>
      </c>
      <c r="B379" s="85" t="s">
        <v>677</v>
      </c>
      <c r="C379" s="179" t="s">
        <v>349</v>
      </c>
      <c r="D379" s="80"/>
      <c r="E379" s="80"/>
      <c r="F379" s="80"/>
      <c r="G379" s="80"/>
      <c r="H379" s="80"/>
      <c r="I379" s="86">
        <v>0</v>
      </c>
      <c r="J379" s="86">
        <v>0</v>
      </c>
      <c r="K379" s="83">
        <f t="shared" si="20"/>
        <v>0</v>
      </c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  <c r="AA379" s="55"/>
      <c r="AB379" s="55"/>
      <c r="AC379" s="55"/>
      <c r="AD379" s="55"/>
      <c r="AE379" s="55"/>
      <c r="AF379" s="55"/>
      <c r="AG379" s="55"/>
      <c r="AH379" s="55"/>
      <c r="AI379" s="55"/>
      <c r="AJ379" s="55"/>
      <c r="AK379" s="55"/>
      <c r="AL379" s="55"/>
      <c r="AM379" s="55"/>
      <c r="AN379" s="55"/>
      <c r="AO379" s="55"/>
      <c r="AP379" s="55"/>
      <c r="AQ379" s="55"/>
      <c r="AR379" s="55"/>
    </row>
    <row r="380" s="54" customFormat="1" ht="14.25" spans="1:44">
      <c r="A380" s="84" t="s">
        <v>787</v>
      </c>
      <c r="B380" s="85" t="s">
        <v>677</v>
      </c>
      <c r="C380" s="179" t="s">
        <v>349</v>
      </c>
      <c r="D380" s="95"/>
      <c r="E380" s="80"/>
      <c r="F380" s="81"/>
      <c r="G380" s="80"/>
      <c r="H380" s="80"/>
      <c r="I380" s="86">
        <v>0</v>
      </c>
      <c r="J380" s="86">
        <v>0</v>
      </c>
      <c r="K380" s="83">
        <f t="shared" si="20"/>
        <v>0</v>
      </c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  <c r="AA380" s="55"/>
      <c r="AB380" s="55"/>
      <c r="AC380" s="55"/>
      <c r="AD380" s="55"/>
      <c r="AE380" s="55"/>
      <c r="AF380" s="55"/>
      <c r="AG380" s="55"/>
      <c r="AH380" s="55"/>
      <c r="AI380" s="55"/>
      <c r="AJ380" s="55"/>
      <c r="AK380" s="55"/>
      <c r="AL380" s="55"/>
      <c r="AM380" s="55"/>
      <c r="AN380" s="55"/>
      <c r="AO380" s="55"/>
      <c r="AP380" s="55"/>
      <c r="AQ380" s="55"/>
      <c r="AR380" s="55"/>
    </row>
    <row r="381" s="54" customFormat="1" ht="14.25" spans="1:44">
      <c r="A381" s="138" t="s">
        <v>788</v>
      </c>
      <c r="B381" s="139" t="s">
        <v>677</v>
      </c>
      <c r="C381" s="179" t="s">
        <v>349</v>
      </c>
      <c r="D381" s="95"/>
      <c r="E381" s="80"/>
      <c r="F381" s="81"/>
      <c r="G381" s="80"/>
      <c r="H381" s="80"/>
      <c r="I381" s="86">
        <v>0</v>
      </c>
      <c r="J381" s="86">
        <v>0</v>
      </c>
      <c r="K381" s="83">
        <f t="shared" si="20"/>
        <v>0</v>
      </c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  <c r="AA381" s="55"/>
      <c r="AB381" s="55"/>
      <c r="AC381" s="55"/>
      <c r="AD381" s="55"/>
      <c r="AE381" s="55"/>
      <c r="AF381" s="55"/>
      <c r="AG381" s="55"/>
      <c r="AH381" s="55"/>
      <c r="AI381" s="55"/>
      <c r="AJ381" s="55"/>
      <c r="AK381" s="55"/>
      <c r="AL381" s="55"/>
      <c r="AM381" s="55"/>
      <c r="AN381" s="55"/>
      <c r="AO381" s="55"/>
      <c r="AP381" s="55"/>
      <c r="AQ381" s="55"/>
      <c r="AR381" s="55"/>
    </row>
    <row r="382" s="54" customFormat="1" ht="14.25" spans="1:44">
      <c r="A382" s="84" t="s">
        <v>789</v>
      </c>
      <c r="B382" s="85" t="s">
        <v>683</v>
      </c>
      <c r="C382" s="179" t="s">
        <v>349</v>
      </c>
      <c r="D382" s="95"/>
      <c r="E382" s="80"/>
      <c r="F382" s="81"/>
      <c r="G382" s="80"/>
      <c r="H382" s="80"/>
      <c r="I382" s="86">
        <v>0</v>
      </c>
      <c r="J382" s="86">
        <v>0</v>
      </c>
      <c r="K382" s="83">
        <f t="shared" si="20"/>
        <v>0</v>
      </c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  <c r="AA382" s="55"/>
      <c r="AB382" s="55"/>
      <c r="AC382" s="55"/>
      <c r="AD382" s="55"/>
      <c r="AE382" s="55"/>
      <c r="AF382" s="55"/>
      <c r="AG382" s="55"/>
      <c r="AH382" s="55"/>
      <c r="AI382" s="55"/>
      <c r="AJ382" s="55"/>
      <c r="AK382" s="55"/>
      <c r="AL382" s="55"/>
      <c r="AM382" s="55"/>
      <c r="AN382" s="55"/>
      <c r="AO382" s="55"/>
      <c r="AP382" s="55"/>
      <c r="AQ382" s="55"/>
      <c r="AR382" s="55"/>
    </row>
    <row r="383" ht="14.25" spans="1:44">
      <c r="A383" s="96" t="s">
        <v>790</v>
      </c>
      <c r="B383" s="97"/>
      <c r="C383" s="191" t="s">
        <v>349</v>
      </c>
      <c r="D383" s="98"/>
      <c r="E383" s="98"/>
      <c r="F383" s="99">
        <v>45727</v>
      </c>
      <c r="G383" s="98">
        <v>100</v>
      </c>
      <c r="H383" s="98">
        <v>100</v>
      </c>
      <c r="I383" s="100">
        <v>74</v>
      </c>
      <c r="J383" s="100">
        <v>0</v>
      </c>
      <c r="K383" s="101">
        <f t="shared" si="20"/>
        <v>74</v>
      </c>
    </row>
    <row r="384" s="54" customFormat="1" ht="12" customHeight="1" spans="1:44">
      <c r="A384" s="84" t="s">
        <v>791</v>
      </c>
      <c r="B384" s="85" t="s">
        <v>792</v>
      </c>
      <c r="C384" s="179" t="s">
        <v>349</v>
      </c>
      <c r="D384" s="80"/>
      <c r="E384" s="80"/>
      <c r="F384" s="80"/>
      <c r="G384" s="80"/>
      <c r="H384" s="80"/>
      <c r="I384" s="86">
        <v>0</v>
      </c>
      <c r="J384" s="86">
        <v>0</v>
      </c>
      <c r="K384" s="83">
        <f t="shared" si="20"/>
        <v>0</v>
      </c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  <c r="AA384" s="55"/>
      <c r="AB384" s="55"/>
      <c r="AC384" s="55"/>
      <c r="AD384" s="55"/>
      <c r="AE384" s="55"/>
      <c r="AF384" s="55"/>
      <c r="AG384" s="55"/>
      <c r="AH384" s="55"/>
      <c r="AI384" s="55"/>
      <c r="AJ384" s="55"/>
      <c r="AK384" s="55"/>
      <c r="AL384" s="55"/>
      <c r="AM384" s="55"/>
      <c r="AN384" s="55"/>
      <c r="AO384" s="55"/>
      <c r="AP384" s="55"/>
      <c r="AQ384" s="55"/>
      <c r="AR384" s="55"/>
    </row>
    <row r="385" s="54" customFormat="1" spans="1:44">
      <c r="A385" s="182" t="s">
        <v>793</v>
      </c>
      <c r="B385" s="183" t="s">
        <v>794</v>
      </c>
      <c r="C385" s="184" t="s">
        <v>349</v>
      </c>
      <c r="D385" s="145"/>
      <c r="E385" s="145"/>
      <c r="F385" s="145"/>
      <c r="G385" s="145"/>
      <c r="H385" s="145"/>
      <c r="I385" s="164">
        <v>0</v>
      </c>
      <c r="J385" s="164">
        <v>0</v>
      </c>
      <c r="K385" s="148">
        <f t="shared" si="20"/>
        <v>0</v>
      </c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  <c r="AA385" s="55"/>
      <c r="AB385" s="55"/>
      <c r="AC385" s="55"/>
      <c r="AD385" s="55"/>
      <c r="AE385" s="55"/>
      <c r="AF385" s="55"/>
      <c r="AG385" s="55"/>
      <c r="AH385" s="55"/>
      <c r="AI385" s="55"/>
      <c r="AJ385" s="55"/>
      <c r="AK385" s="55"/>
      <c r="AL385" s="55"/>
      <c r="AM385" s="55"/>
      <c r="AN385" s="55"/>
      <c r="AO385" s="55"/>
      <c r="AP385" s="55"/>
      <c r="AQ385" s="55"/>
      <c r="AR385" s="55"/>
    </row>
    <row r="386" s="56" customFormat="1" ht="14.25" spans="1:44">
      <c r="A386" s="280"/>
      <c r="B386" s="280"/>
      <c r="C386" s="281"/>
      <c r="D386" s="282"/>
      <c r="E386" s="282"/>
      <c r="F386" s="282"/>
      <c r="G386" s="282"/>
      <c r="H386" s="282"/>
      <c r="I386" s="283"/>
      <c r="J386" s="283"/>
      <c r="K386" s="284"/>
      <c r="L386" s="285"/>
      <c r="M386" s="285"/>
      <c r="N386" s="285"/>
      <c r="O386" s="285"/>
      <c r="P386" s="285"/>
      <c r="Q386" s="285"/>
      <c r="R386" s="285"/>
      <c r="S386" s="285"/>
      <c r="T386" s="285"/>
      <c r="U386" s="285"/>
      <c r="V386" s="285"/>
      <c r="W386" s="285"/>
      <c r="X386" s="285"/>
      <c r="Y386" s="285"/>
      <c r="Z386" s="285"/>
      <c r="AA386" s="285"/>
      <c r="AB386" s="285"/>
      <c r="AC386" s="285"/>
      <c r="AD386" s="285"/>
      <c r="AE386" s="285"/>
      <c r="AF386" s="285"/>
      <c r="AG386" s="285"/>
      <c r="AH386" s="285"/>
      <c r="AI386" s="285"/>
      <c r="AJ386" s="285"/>
      <c r="AK386" s="285"/>
      <c r="AL386" s="285"/>
      <c r="AM386" s="285"/>
      <c r="AN386" s="285"/>
      <c r="AO386" s="285"/>
      <c r="AP386" s="285"/>
      <c r="AQ386" s="285"/>
      <c r="AR386" s="285"/>
    </row>
    <row r="387" s="55" customFormat="1" spans="1:44">
      <c r="A387" s="286"/>
      <c r="B387" s="286"/>
      <c r="C387" s="287"/>
      <c r="D387" s="288"/>
      <c r="E387" s="288"/>
      <c r="F387" s="288"/>
      <c r="G387" s="288"/>
      <c r="H387" s="288"/>
      <c r="I387" s="289"/>
      <c r="J387" s="289"/>
      <c r="K387" s="290"/>
    </row>
    <row r="388" s="55" customFormat="1" ht="20.25" spans="1:44">
      <c r="A388" s="291" t="s">
        <v>795</v>
      </c>
      <c r="B388" s="292"/>
      <c r="C388" s="292"/>
      <c r="D388" s="292"/>
      <c r="E388" s="293"/>
      <c r="F388" s="294"/>
      <c r="G388" s="294"/>
      <c r="H388" s="294"/>
      <c r="I388" s="294"/>
      <c r="J388" s="294"/>
      <c r="K388" s="294"/>
    </row>
    <row r="389" s="55" customFormat="1" ht="33.75" spans="1:44">
      <c r="A389" s="295" t="s">
        <v>3</v>
      </c>
      <c r="B389" s="296" t="s">
        <v>4</v>
      </c>
      <c r="C389" s="296" t="s">
        <v>5</v>
      </c>
      <c r="D389" s="296" t="s">
        <v>6</v>
      </c>
      <c r="E389" s="297" t="s">
        <v>7</v>
      </c>
      <c r="F389" s="298"/>
      <c r="G389" s="298"/>
      <c r="H389" s="298"/>
      <c r="I389" s="299"/>
      <c r="J389" s="299"/>
      <c r="K389" s="299"/>
    </row>
    <row r="390" s="55" customFormat="1" ht="14.25" spans="1:44">
      <c r="A390" s="96" t="s">
        <v>23</v>
      </c>
      <c r="B390" s="97" t="s">
        <v>24</v>
      </c>
      <c r="C390" s="97" t="s">
        <v>25</v>
      </c>
      <c r="D390" s="300" t="s">
        <v>26</v>
      </c>
      <c r="E390" s="301" t="s">
        <v>27</v>
      </c>
      <c r="F390" s="302"/>
      <c r="G390" s="303"/>
      <c r="H390" s="303"/>
      <c r="I390" s="304"/>
      <c r="J390" s="304"/>
      <c r="K390" s="304"/>
    </row>
    <row r="391" s="55" customFormat="1" ht="14" customHeight="1" spans="1:44">
      <c r="A391" s="96" t="s">
        <v>31</v>
      </c>
      <c r="B391" s="97" t="s">
        <v>32</v>
      </c>
      <c r="C391" s="97" t="s">
        <v>33</v>
      </c>
      <c r="D391" s="300" t="s">
        <v>34</v>
      </c>
      <c r="E391" s="301" t="s">
        <v>35</v>
      </c>
      <c r="F391" s="302"/>
      <c r="G391" s="303"/>
      <c r="H391" s="303"/>
      <c r="I391" s="304"/>
      <c r="J391" s="304"/>
      <c r="K391" s="304"/>
    </row>
    <row r="392" s="55" customFormat="1" ht="14.25" spans="1:44">
      <c r="A392" s="96" t="s">
        <v>83</v>
      </c>
      <c r="B392" s="97" t="s">
        <v>84</v>
      </c>
      <c r="C392" s="97" t="s">
        <v>85</v>
      </c>
      <c r="D392" s="300" t="s">
        <v>86</v>
      </c>
      <c r="E392" s="301" t="s">
        <v>87</v>
      </c>
      <c r="F392" s="302"/>
      <c r="G392" s="303"/>
      <c r="H392" s="303"/>
      <c r="I392" s="304"/>
      <c r="J392" s="304"/>
      <c r="K392" s="304"/>
    </row>
    <row r="393" s="55" customFormat="1" ht="14.25" spans="1:44">
      <c r="A393" s="96" t="s">
        <v>145</v>
      </c>
      <c r="B393" s="97" t="s">
        <v>146</v>
      </c>
      <c r="C393" s="97" t="s">
        <v>147</v>
      </c>
      <c r="D393" s="300" t="s">
        <v>26</v>
      </c>
      <c r="E393" s="301">
        <v>649230803</v>
      </c>
      <c r="F393" s="302"/>
      <c r="G393" s="303"/>
      <c r="H393" s="303"/>
      <c r="I393" s="304"/>
      <c r="J393" s="304"/>
      <c r="K393" s="304"/>
    </row>
    <row r="394" s="55" customFormat="1" ht="14.25" spans="1:44">
      <c r="A394" s="96" t="s">
        <v>171</v>
      </c>
      <c r="B394" s="97" t="s">
        <v>172</v>
      </c>
      <c r="C394" s="97" t="s">
        <v>173</v>
      </c>
      <c r="D394" s="300" t="s">
        <v>86</v>
      </c>
      <c r="E394" s="301" t="s">
        <v>174</v>
      </c>
      <c r="F394" s="302"/>
      <c r="G394" s="303"/>
      <c r="H394" s="303"/>
      <c r="I394" s="304"/>
      <c r="J394" s="304"/>
      <c r="K394" s="304"/>
    </row>
    <row r="395" s="55" customFormat="1" ht="14.25" spans="1:44">
      <c r="A395" s="96" t="s">
        <v>193</v>
      </c>
      <c r="B395" s="97" t="s">
        <v>194</v>
      </c>
      <c r="C395" s="97" t="s">
        <v>195</v>
      </c>
      <c r="D395" s="300" t="s">
        <v>26</v>
      </c>
      <c r="E395" s="301" t="s">
        <v>196</v>
      </c>
      <c r="F395" s="302"/>
      <c r="G395" s="303"/>
      <c r="H395" s="303"/>
      <c r="I395" s="304"/>
      <c r="J395" s="304"/>
      <c r="K395" s="304"/>
    </row>
    <row r="396" s="55" customFormat="1" ht="2" customHeight="1" spans="1:44">
      <c r="A396" s="96"/>
      <c r="B396" s="97"/>
      <c r="C396" s="97"/>
      <c r="D396" s="300"/>
      <c r="E396" s="301"/>
      <c r="F396" s="302"/>
      <c r="G396" s="303"/>
      <c r="H396" s="303"/>
      <c r="I396" s="304"/>
      <c r="J396" s="304"/>
      <c r="K396" s="304"/>
    </row>
    <row r="397" s="55" customFormat="1" ht="14.25" spans="1:44">
      <c r="A397" s="96" t="s">
        <v>207</v>
      </c>
      <c r="B397" s="97" t="s">
        <v>208</v>
      </c>
      <c r="C397" s="97" t="s">
        <v>209</v>
      </c>
      <c r="D397" s="300" t="s">
        <v>86</v>
      </c>
      <c r="E397" s="301" t="s">
        <v>210</v>
      </c>
      <c r="F397" s="302"/>
      <c r="G397" s="303"/>
      <c r="H397" s="303"/>
      <c r="I397" s="304"/>
      <c r="J397" s="304"/>
      <c r="K397" s="304"/>
    </row>
    <row r="398" s="55" customFormat="1" ht="41" customHeight="1" spans="1:44">
      <c r="A398" s="96" t="s">
        <v>215</v>
      </c>
      <c r="B398" s="97" t="s">
        <v>219</v>
      </c>
      <c r="C398" s="97" t="s">
        <v>220</v>
      </c>
      <c r="D398" s="300" t="s">
        <v>34</v>
      </c>
      <c r="E398" s="301" t="s">
        <v>221</v>
      </c>
      <c r="F398" s="302"/>
      <c r="G398" s="303"/>
      <c r="H398" s="303"/>
      <c r="I398" s="304"/>
      <c r="J398" s="304"/>
      <c r="K398" s="304"/>
    </row>
    <row r="399" s="55" customFormat="1" ht="14.25" spans="1:44">
      <c r="A399" s="96" t="s">
        <v>225</v>
      </c>
      <c r="B399" s="97" t="s">
        <v>226</v>
      </c>
      <c r="C399" s="97" t="s">
        <v>227</v>
      </c>
      <c r="D399" s="300" t="s">
        <v>34</v>
      </c>
      <c r="E399" s="301">
        <v>324004</v>
      </c>
      <c r="F399" s="302"/>
      <c r="G399" s="303"/>
      <c r="H399" s="303"/>
      <c r="I399" s="304"/>
      <c r="J399" s="304"/>
      <c r="K399" s="304"/>
    </row>
    <row r="400" s="55" customFormat="1" ht="14" customHeight="1" spans="1:44">
      <c r="A400" s="96" t="s">
        <v>234</v>
      </c>
      <c r="B400" s="97" t="s">
        <v>235</v>
      </c>
      <c r="C400" s="97" t="s">
        <v>236</v>
      </c>
      <c r="D400" s="300" t="s">
        <v>26</v>
      </c>
      <c r="E400" s="301" t="s">
        <v>237</v>
      </c>
      <c r="F400" s="302"/>
      <c r="G400" s="303"/>
      <c r="H400" s="303"/>
      <c r="I400" s="304"/>
      <c r="J400" s="304"/>
      <c r="K400" s="304"/>
    </row>
    <row r="401" s="55" customFormat="1" ht="14.25" spans="1:11">
      <c r="A401" s="96" t="s">
        <v>241</v>
      </c>
      <c r="B401" s="97" t="s">
        <v>242</v>
      </c>
      <c r="C401" s="97" t="s">
        <v>243</v>
      </c>
      <c r="D401" s="300" t="s">
        <v>86</v>
      </c>
      <c r="E401" s="301" t="s">
        <v>796</v>
      </c>
      <c r="F401" s="302"/>
      <c r="G401" s="303"/>
      <c r="H401" s="303"/>
      <c r="I401" s="304"/>
      <c r="J401" s="304"/>
      <c r="K401" s="304"/>
    </row>
    <row r="402" s="55" customFormat="1" spans="1:11">
      <c r="A402" s="193" t="s">
        <v>430</v>
      </c>
      <c r="B402" s="194" t="s">
        <v>431</v>
      </c>
      <c r="C402" s="194" t="s">
        <v>432</v>
      </c>
      <c r="D402" s="305" t="s">
        <v>26</v>
      </c>
      <c r="E402" s="306">
        <v>2310615</v>
      </c>
      <c r="F402" s="302"/>
      <c r="G402" s="303"/>
      <c r="H402" s="303"/>
      <c r="I402" s="304"/>
      <c r="J402" s="304"/>
      <c r="K402" s="304"/>
    </row>
    <row r="403" s="55" customFormat="1" spans="1:11">
      <c r="A403" s="307"/>
      <c r="B403" s="307"/>
      <c r="C403" s="308"/>
      <c r="D403" s="309"/>
      <c r="E403" s="310"/>
      <c r="F403" s="311"/>
      <c r="G403" s="310"/>
      <c r="H403" s="310"/>
      <c r="I403" s="312"/>
      <c r="J403" s="313"/>
      <c r="K403" s="314"/>
    </row>
    <row r="404" s="55" customFormat="1" spans="1:11">
      <c r="A404" s="315" t="s">
        <v>797</v>
      </c>
      <c r="B404" s="316"/>
      <c r="C404" s="315" t="s">
        <v>798</v>
      </c>
      <c r="D404" s="315"/>
      <c r="E404" s="315"/>
      <c r="F404" s="311"/>
      <c r="G404" s="310"/>
      <c r="H404" s="310"/>
      <c r="I404" s="312"/>
      <c r="J404" s="313"/>
      <c r="K404" s="314"/>
    </row>
    <row r="405" s="55" customFormat="1" spans="1:11">
      <c r="A405" s="307"/>
      <c r="B405" s="317"/>
      <c r="C405" s="315" t="s">
        <v>799</v>
      </c>
      <c r="D405" s="307"/>
      <c r="E405" s="307"/>
      <c r="F405" s="311"/>
      <c r="G405" s="310"/>
      <c r="H405" s="310"/>
      <c r="I405" s="312"/>
      <c r="J405" s="313"/>
      <c r="K405" s="314"/>
    </row>
    <row r="406" s="55" customFormat="1" spans="1:11">
      <c r="A406" s="307"/>
      <c r="B406" s="318"/>
      <c r="C406" s="319" t="s">
        <v>800</v>
      </c>
      <c r="D406" s="309"/>
      <c r="E406" s="310"/>
      <c r="F406" s="311"/>
      <c r="G406" s="310"/>
      <c r="H406" s="310"/>
      <c r="I406" s="312"/>
      <c r="J406" s="313"/>
      <c r="K406" s="314"/>
    </row>
    <row r="407" s="55" customFormat="1" ht="14.25" spans="1:11">
      <c r="A407" s="307"/>
      <c r="B407" s="307"/>
      <c r="C407" s="308"/>
      <c r="D407" s="309"/>
      <c r="E407" s="310"/>
      <c r="F407" s="311"/>
      <c r="G407" s="310"/>
      <c r="H407" s="310"/>
      <c r="I407" s="312"/>
      <c r="J407" s="313"/>
      <c r="K407" s="314"/>
    </row>
    <row r="408" ht="14.25" spans="1:11">
      <c r="B408" s="61" t="s">
        <v>801</v>
      </c>
      <c r="C408" s="61"/>
      <c r="F408" s="62"/>
      <c r="G408" s="62" t="s">
        <v>802</v>
      </c>
      <c r="H408" s="62"/>
      <c r="I408" s="63"/>
      <c r="J408" s="63"/>
      <c r="K408" s="63"/>
    </row>
    <row r="409" ht="14.25" spans="1:11">
      <c r="B409" s="61"/>
      <c r="C409" s="61"/>
      <c r="F409" s="62"/>
      <c r="G409" s="62"/>
      <c r="H409" s="62"/>
      <c r="I409" s="63"/>
      <c r="J409" s="63"/>
      <c r="K409" s="63"/>
    </row>
    <row r="410" ht="14.25" spans="1:11">
      <c r="B410" s="320" t="s">
        <v>803</v>
      </c>
      <c r="C410" s="320"/>
      <c r="F410" s="62"/>
      <c r="G410" s="320" t="s">
        <v>804</v>
      </c>
      <c r="H410" s="320"/>
      <c r="I410" s="320"/>
      <c r="J410" s="320"/>
      <c r="K410" s="320"/>
    </row>
    <row r="411" ht="14.25" spans="1:11">
      <c r="B411" s="62" t="s">
        <v>805</v>
      </c>
      <c r="C411" s="62"/>
      <c r="F411" s="62"/>
      <c r="G411" s="62" t="s">
        <v>806</v>
      </c>
      <c r="H411" s="62"/>
      <c r="I411" s="63"/>
      <c r="J411" s="63"/>
      <c r="K411" s="63"/>
    </row>
    <row r="412" ht="14.25" spans="1:11">
      <c r="A412" s="61"/>
      <c r="B412" s="61"/>
      <c r="C412" s="61"/>
      <c r="D412" s="62"/>
      <c r="E412" s="62"/>
      <c r="F412" s="62"/>
      <c r="G412" s="62" t="s">
        <v>807</v>
      </c>
      <c r="H412" s="62"/>
      <c r="I412" s="63"/>
      <c r="J412" s="63"/>
      <c r="K412" s="63"/>
    </row>
    <row r="440" spans="1:3">
      <c r="A440" s="57"/>
      <c r="B440" s="57"/>
      <c r="C440" s="57"/>
    </row>
  </sheetData>
  <sortState ref="A307:K398">
    <sortCondition ref="A264"/>
  </sortState>
  <mergeCells count="99">
    <mergeCell ref="A1:K1"/>
    <mergeCell ref="A2:K2"/>
    <mergeCell ref="A4:K4"/>
    <mergeCell ref="A203:K203"/>
    <mergeCell ref="A213:K213"/>
    <mergeCell ref="A230:K230"/>
    <mergeCell ref="A248:K248"/>
    <mergeCell ref="A291:K291"/>
    <mergeCell ref="A388:E388"/>
    <mergeCell ref="C404:E404"/>
    <mergeCell ref="C405:E405"/>
    <mergeCell ref="G408:H408"/>
    <mergeCell ref="B410:C410"/>
    <mergeCell ref="G410:I410"/>
    <mergeCell ref="B411:C411"/>
    <mergeCell ref="G411:I411"/>
    <mergeCell ref="G412:I412"/>
    <mergeCell ref="A440:K440"/>
    <mergeCell ref="A9:A10"/>
    <mergeCell ref="A21:A22"/>
    <mergeCell ref="A30:A31"/>
    <mergeCell ref="A57:A58"/>
    <mergeCell ref="A72:A73"/>
    <mergeCell ref="A104:A105"/>
    <mergeCell ref="A119:A120"/>
    <mergeCell ref="A129:A130"/>
    <mergeCell ref="A186:A187"/>
    <mergeCell ref="A294:A295"/>
    <mergeCell ref="A328:A330"/>
    <mergeCell ref="A355:A357"/>
    <mergeCell ref="A370:A371"/>
    <mergeCell ref="A395:A396"/>
    <mergeCell ref="B9:B10"/>
    <mergeCell ref="B21:B22"/>
    <mergeCell ref="B30:B31"/>
    <mergeCell ref="B57:B58"/>
    <mergeCell ref="B72:B73"/>
    <mergeCell ref="B104:B105"/>
    <mergeCell ref="B119:B120"/>
    <mergeCell ref="B129:B130"/>
    <mergeCell ref="B186:B187"/>
    <mergeCell ref="B294:B295"/>
    <mergeCell ref="B328:B330"/>
    <mergeCell ref="B355:B357"/>
    <mergeCell ref="B370:B371"/>
    <mergeCell ref="B395:B396"/>
    <mergeCell ref="C9:C10"/>
    <mergeCell ref="C21:C22"/>
    <mergeCell ref="C104:C105"/>
    <mergeCell ref="C119:C120"/>
    <mergeCell ref="C129:C130"/>
    <mergeCell ref="C186:C187"/>
    <mergeCell ref="C294:C295"/>
    <mergeCell ref="C328:C330"/>
    <mergeCell ref="C355:C357"/>
    <mergeCell ref="C370:C371"/>
    <mergeCell ref="C395:C396"/>
    <mergeCell ref="D9:D10"/>
    <mergeCell ref="D21:D22"/>
    <mergeCell ref="D104:D105"/>
    <mergeCell ref="D129:D130"/>
    <mergeCell ref="D186:D187"/>
    <mergeCell ref="D294:D295"/>
    <mergeCell ref="D328:D330"/>
    <mergeCell ref="D355:D356"/>
    <mergeCell ref="D370:D371"/>
    <mergeCell ref="D395:D396"/>
    <mergeCell ref="E9:E10"/>
    <mergeCell ref="E21:E22"/>
    <mergeCell ref="E104:E105"/>
    <mergeCell ref="E129:E130"/>
    <mergeCell ref="E186:E187"/>
    <mergeCell ref="E294:E295"/>
    <mergeCell ref="E328:E330"/>
    <mergeCell ref="E355:E356"/>
    <mergeCell ref="E370:E371"/>
    <mergeCell ref="E395:E396"/>
    <mergeCell ref="F395:F396"/>
    <mergeCell ref="G395:G396"/>
    <mergeCell ref="H9:H10"/>
    <mergeCell ref="H21:H22"/>
    <mergeCell ref="H104:H105"/>
    <mergeCell ref="H119:H120"/>
    <mergeCell ref="H395:H396"/>
    <mergeCell ref="I9:I10"/>
    <mergeCell ref="I21:I22"/>
    <mergeCell ref="I104:I105"/>
    <mergeCell ref="I119:I120"/>
    <mergeCell ref="I395:I396"/>
    <mergeCell ref="J9:J10"/>
    <mergeCell ref="J21:J22"/>
    <mergeCell ref="J104:J105"/>
    <mergeCell ref="J119:J120"/>
    <mergeCell ref="J395:J396"/>
    <mergeCell ref="K9:K10"/>
    <mergeCell ref="K21:K22"/>
    <mergeCell ref="K104:K105"/>
    <mergeCell ref="K119:K120"/>
    <mergeCell ref="K395:K396"/>
  </mergeCells>
  <pageMargins left="0.156944444444444" right="0.0784722222222222" top="1.14166666666667" bottom="0.944444444444444" header="0.119444444444444" footer="0"/>
  <pageSetup paperSize="14" scale="99" fitToHeight="0" orientation="landscape" horizontalDpi="600"/>
  <headerFooter>
    <oddHeader>&amp;C&amp;G</oddHeader>
    <oddFooter>&amp;C&amp;G</oddFoot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39"/>
  <sheetViews>
    <sheetView workbookViewId="0">
      <selection activeCell="G4" sqref="G4"/>
    </sheetView>
  </sheetViews>
  <sheetFormatPr defaultColWidth="9" defaultRowHeight="15" outlineLevelCol="4"/>
  <cols>
    <col min="1" max="1" width="22.875" style="1" customWidth="1"/>
    <col min="2" max="2" width="26" style="1" customWidth="1"/>
    <col min="3" max="3" width="13" style="1" customWidth="1"/>
    <col min="4" max="4" width="11" style="1" customWidth="1"/>
    <col min="5" max="5" width="13.125" style="1" customWidth="1"/>
  </cols>
  <sheetData>
    <row r="1" ht="19.5" spans="1:5">
      <c r="A1" s="6" t="s">
        <v>808</v>
      </c>
      <c r="B1" s="6"/>
      <c r="C1" s="6"/>
      <c r="D1" s="6"/>
      <c r="E1" s="6"/>
    </row>
    <row r="2" ht="43" customHeight="1" spans="1:5">
      <c r="A2" s="8" t="s">
        <v>3</v>
      </c>
      <c r="B2" s="9" t="s">
        <v>4</v>
      </c>
      <c r="C2" s="9" t="s">
        <v>5</v>
      </c>
      <c r="D2" s="9" t="s">
        <v>6</v>
      </c>
      <c r="E2" s="9" t="s">
        <v>7</v>
      </c>
    </row>
    <row r="3" ht="30" spans="1:5">
      <c r="A3" s="39" t="s">
        <v>60</v>
      </c>
      <c r="B3" s="40" t="s">
        <v>61</v>
      </c>
      <c r="C3" s="40" t="s">
        <v>62</v>
      </c>
      <c r="D3" s="41" t="s">
        <v>63</v>
      </c>
      <c r="E3" s="41" t="s">
        <v>64</v>
      </c>
    </row>
    <row r="4" ht="30" spans="1:5">
      <c r="A4" s="39" t="s">
        <v>65</v>
      </c>
      <c r="B4" s="40" t="s">
        <v>66</v>
      </c>
      <c r="C4" s="40" t="s">
        <v>62</v>
      </c>
      <c r="D4" s="42" t="s">
        <v>809</v>
      </c>
      <c r="E4" s="41" t="s">
        <v>810</v>
      </c>
    </row>
    <row r="5" spans="1:5">
      <c r="A5" s="39" t="s">
        <v>67</v>
      </c>
      <c r="B5" s="40" t="s">
        <v>68</v>
      </c>
      <c r="C5" s="40" t="s">
        <v>69</v>
      </c>
      <c r="D5" s="43" t="s">
        <v>34</v>
      </c>
      <c r="E5" s="41" t="s">
        <v>811</v>
      </c>
    </row>
    <row r="6" spans="1:5">
      <c r="A6" s="39" t="s">
        <v>83</v>
      </c>
      <c r="B6" s="40" t="s">
        <v>84</v>
      </c>
      <c r="C6" s="11" t="s">
        <v>85</v>
      </c>
      <c r="D6" s="44" t="s">
        <v>86</v>
      </c>
      <c r="E6" s="14" t="s">
        <v>87</v>
      </c>
    </row>
    <row r="7" spans="1:5">
      <c r="A7" s="45"/>
      <c r="B7" s="46"/>
      <c r="C7" s="11" t="s">
        <v>88</v>
      </c>
      <c r="D7" s="14" t="s">
        <v>42</v>
      </c>
      <c r="E7" s="14">
        <v>241216</v>
      </c>
    </row>
    <row r="8" spans="1:5">
      <c r="A8" s="47" t="s">
        <v>93</v>
      </c>
      <c r="B8" s="11" t="s">
        <v>94</v>
      </c>
      <c r="C8" s="11" t="s">
        <v>95</v>
      </c>
      <c r="D8" s="48" t="s">
        <v>812</v>
      </c>
      <c r="E8" s="14">
        <v>2506050</v>
      </c>
    </row>
    <row r="9" spans="1:5">
      <c r="A9" s="39" t="s">
        <v>93</v>
      </c>
      <c r="B9" s="40" t="s">
        <v>96</v>
      </c>
      <c r="C9" s="11" t="s">
        <v>97</v>
      </c>
      <c r="D9" s="48" t="s">
        <v>813</v>
      </c>
      <c r="E9" s="14">
        <v>14198</v>
      </c>
    </row>
    <row r="10" spans="1:5">
      <c r="A10" s="47" t="s">
        <v>100</v>
      </c>
      <c r="B10" s="11" t="s">
        <v>101</v>
      </c>
      <c r="C10" s="11" t="s">
        <v>102</v>
      </c>
      <c r="D10" s="48" t="s">
        <v>814</v>
      </c>
      <c r="E10" s="14">
        <v>53279</v>
      </c>
    </row>
    <row r="11" spans="1:5">
      <c r="A11" s="47" t="s">
        <v>113</v>
      </c>
      <c r="B11" s="11" t="s">
        <v>329</v>
      </c>
      <c r="C11" s="11" t="s">
        <v>815</v>
      </c>
      <c r="D11" s="48" t="s">
        <v>816</v>
      </c>
      <c r="E11" s="14" t="s">
        <v>817</v>
      </c>
    </row>
    <row r="12" spans="1:5">
      <c r="A12" s="47" t="s">
        <v>121</v>
      </c>
      <c r="B12" s="11" t="s">
        <v>124</v>
      </c>
      <c r="C12" s="11" t="s">
        <v>125</v>
      </c>
      <c r="D12" s="49" t="s">
        <v>818</v>
      </c>
      <c r="E12" s="14" t="s">
        <v>819</v>
      </c>
    </row>
    <row r="13" ht="33" customHeight="1" spans="1:5">
      <c r="A13" s="47" t="s">
        <v>135</v>
      </c>
      <c r="B13" s="11" t="s">
        <v>136</v>
      </c>
      <c r="C13" s="11" t="s">
        <v>137</v>
      </c>
      <c r="D13" s="48" t="s">
        <v>814</v>
      </c>
      <c r="E13" s="14">
        <v>240301</v>
      </c>
    </row>
    <row r="14" spans="1:5">
      <c r="A14" s="47" t="s">
        <v>171</v>
      </c>
      <c r="B14" s="11" t="s">
        <v>172</v>
      </c>
      <c r="C14" s="11" t="s">
        <v>173</v>
      </c>
      <c r="D14" s="44" t="s">
        <v>86</v>
      </c>
      <c r="E14" s="14" t="s">
        <v>174</v>
      </c>
    </row>
    <row r="15" spans="1:5">
      <c r="A15" s="47" t="s">
        <v>186</v>
      </c>
      <c r="B15" s="11" t="s">
        <v>94</v>
      </c>
      <c r="C15" s="11" t="s">
        <v>187</v>
      </c>
      <c r="D15" s="48" t="s">
        <v>820</v>
      </c>
      <c r="E15" s="14" t="s">
        <v>188</v>
      </c>
    </row>
    <row r="16" ht="30" spans="1:5">
      <c r="A16" s="47" t="s">
        <v>186</v>
      </c>
      <c r="B16" s="11" t="s">
        <v>189</v>
      </c>
      <c r="C16" s="11" t="s">
        <v>190</v>
      </c>
      <c r="D16" s="14" t="s">
        <v>191</v>
      </c>
      <c r="E16" s="14">
        <v>87</v>
      </c>
    </row>
    <row r="17" spans="1:5">
      <c r="A17" s="47" t="s">
        <v>203</v>
      </c>
      <c r="B17" s="11" t="s">
        <v>204</v>
      </c>
      <c r="C17" s="11" t="s">
        <v>205</v>
      </c>
      <c r="D17" s="48" t="s">
        <v>821</v>
      </c>
      <c r="E17" s="14" t="s">
        <v>206</v>
      </c>
    </row>
    <row r="18" ht="30" spans="1:5">
      <c r="A18" s="47" t="s">
        <v>215</v>
      </c>
      <c r="B18" s="11" t="s">
        <v>217</v>
      </c>
      <c r="C18" s="11" t="s">
        <v>218</v>
      </c>
      <c r="D18" s="48" t="s">
        <v>821</v>
      </c>
      <c r="E18" s="14">
        <v>25569001</v>
      </c>
    </row>
    <row r="19" ht="45" spans="1:5">
      <c r="A19" s="47" t="s">
        <v>215</v>
      </c>
      <c r="B19" s="11" t="s">
        <v>219</v>
      </c>
      <c r="C19" s="11" t="s">
        <v>220</v>
      </c>
      <c r="D19" s="44" t="s">
        <v>34</v>
      </c>
      <c r="E19" s="14" t="s">
        <v>221</v>
      </c>
    </row>
    <row r="20" spans="1:5">
      <c r="A20" s="47" t="s">
        <v>822</v>
      </c>
      <c r="B20" s="11" t="s">
        <v>467</v>
      </c>
      <c r="C20" s="11" t="s">
        <v>815</v>
      </c>
      <c r="D20" s="13" t="s">
        <v>270</v>
      </c>
      <c r="E20" s="14" t="s">
        <v>823</v>
      </c>
    </row>
    <row r="21" spans="1:5">
      <c r="A21" s="47" t="s">
        <v>259</v>
      </c>
      <c r="B21" s="11" t="s">
        <v>260</v>
      </c>
      <c r="C21" s="11" t="s">
        <v>261</v>
      </c>
      <c r="D21" s="14" t="s">
        <v>262</v>
      </c>
      <c r="E21" s="14" t="s">
        <v>263</v>
      </c>
    </row>
    <row r="22" spans="1:5">
      <c r="A22" s="47" t="s">
        <v>283</v>
      </c>
      <c r="B22" s="11" t="s">
        <v>284</v>
      </c>
      <c r="C22" s="11"/>
      <c r="D22" s="14" t="s">
        <v>285</v>
      </c>
      <c r="E22" s="14" t="s">
        <v>286</v>
      </c>
    </row>
    <row r="23" spans="1:5">
      <c r="A23" s="50" t="s">
        <v>317</v>
      </c>
      <c r="B23" s="51" t="s">
        <v>318</v>
      </c>
      <c r="C23" s="51" t="s">
        <v>319</v>
      </c>
      <c r="D23" s="52" t="s">
        <v>824</v>
      </c>
      <c r="E23" s="322" t="s">
        <v>825</v>
      </c>
    </row>
    <row r="24" spans="1:5">
      <c r="A24" s="39" t="s">
        <v>320</v>
      </c>
      <c r="B24" s="40" t="s">
        <v>325</v>
      </c>
      <c r="C24" s="40" t="s">
        <v>326</v>
      </c>
      <c r="D24" s="48" t="s">
        <v>826</v>
      </c>
      <c r="E24" s="14" t="s">
        <v>327</v>
      </c>
    </row>
    <row r="25" spans="1:5">
      <c r="A25" s="45"/>
      <c r="B25" s="46"/>
      <c r="C25" s="46"/>
      <c r="D25" s="48" t="s">
        <v>827</v>
      </c>
      <c r="E25" s="14" t="s">
        <v>328</v>
      </c>
    </row>
    <row r="26" spans="1:5">
      <c r="A26" s="47" t="s">
        <v>320</v>
      </c>
      <c r="B26" s="11" t="s">
        <v>329</v>
      </c>
      <c r="C26" s="11" t="s">
        <v>330</v>
      </c>
      <c r="D26" s="44" t="s">
        <v>828</v>
      </c>
      <c r="E26" s="14" t="s">
        <v>829</v>
      </c>
    </row>
    <row r="27" spans="1:5">
      <c r="A27" s="47" t="s">
        <v>830</v>
      </c>
      <c r="B27" s="11" t="s">
        <v>831</v>
      </c>
      <c r="C27" s="11" t="s">
        <v>120</v>
      </c>
      <c r="D27" s="14" t="s">
        <v>270</v>
      </c>
      <c r="E27" s="14" t="s">
        <v>832</v>
      </c>
    </row>
    <row r="28" spans="1:5">
      <c r="A28" s="47" t="s">
        <v>833</v>
      </c>
      <c r="B28" s="11" t="s">
        <v>834</v>
      </c>
      <c r="C28" s="11" t="s">
        <v>120</v>
      </c>
      <c r="D28" s="48" t="s">
        <v>821</v>
      </c>
      <c r="E28" s="14" t="s">
        <v>835</v>
      </c>
    </row>
    <row r="29" spans="1:5">
      <c r="A29" s="47" t="s">
        <v>418</v>
      </c>
      <c r="B29" s="11" t="s">
        <v>419</v>
      </c>
      <c r="C29" s="11" t="s">
        <v>420</v>
      </c>
      <c r="D29" s="21" t="s">
        <v>421</v>
      </c>
      <c r="E29" s="14">
        <v>250331</v>
      </c>
    </row>
    <row r="30" spans="1:5">
      <c r="A30" s="47" t="s">
        <v>444</v>
      </c>
      <c r="B30" s="11" t="s">
        <v>58</v>
      </c>
      <c r="C30" s="11" t="s">
        <v>445</v>
      </c>
      <c r="D30" s="48" t="s">
        <v>826</v>
      </c>
      <c r="E30" s="14" t="s">
        <v>446</v>
      </c>
    </row>
    <row r="31" spans="1:5">
      <c r="A31" s="47" t="s">
        <v>447</v>
      </c>
      <c r="B31" s="11" t="s">
        <v>89</v>
      </c>
      <c r="C31" s="11" t="s">
        <v>120</v>
      </c>
      <c r="D31" s="14" t="s">
        <v>448</v>
      </c>
      <c r="E31" s="14" t="s">
        <v>449</v>
      </c>
    </row>
    <row r="32" spans="1:5">
      <c r="A32" s="39" t="s">
        <v>464</v>
      </c>
      <c r="B32" s="40" t="s">
        <v>84</v>
      </c>
      <c r="C32" s="11" t="s">
        <v>465</v>
      </c>
      <c r="D32" s="48" t="s">
        <v>826</v>
      </c>
      <c r="E32" s="14">
        <v>240202</v>
      </c>
    </row>
    <row r="33" spans="1:5">
      <c r="A33" s="47" t="s">
        <v>479</v>
      </c>
      <c r="B33" s="11" t="s">
        <v>480</v>
      </c>
      <c r="C33" s="11" t="s">
        <v>481</v>
      </c>
      <c r="D33" s="14" t="s">
        <v>421</v>
      </c>
      <c r="E33" s="14">
        <v>143140</v>
      </c>
    </row>
    <row r="34" spans="1:5">
      <c r="A34" s="47" t="s">
        <v>479</v>
      </c>
      <c r="B34" s="11" t="s">
        <v>482</v>
      </c>
      <c r="C34" s="11" t="s">
        <v>481</v>
      </c>
      <c r="D34" s="14" t="s">
        <v>262</v>
      </c>
      <c r="E34" s="14">
        <v>144088</v>
      </c>
    </row>
    <row r="35" spans="1:5">
      <c r="A35" s="47" t="s">
        <v>492</v>
      </c>
      <c r="B35" s="11" t="s">
        <v>493</v>
      </c>
      <c r="C35" s="11" t="s">
        <v>494</v>
      </c>
      <c r="D35" s="48" t="s">
        <v>836</v>
      </c>
      <c r="E35" s="14">
        <v>270600</v>
      </c>
    </row>
    <row r="36" ht="30" spans="1:5">
      <c r="A36" s="47" t="s">
        <v>503</v>
      </c>
      <c r="B36" s="11" t="s">
        <v>504</v>
      </c>
      <c r="C36" s="11" t="s">
        <v>505</v>
      </c>
      <c r="D36" s="14" t="s">
        <v>198</v>
      </c>
      <c r="E36" s="14" t="s">
        <v>506</v>
      </c>
    </row>
    <row r="37" spans="1:5">
      <c r="A37" s="47" t="s">
        <v>507</v>
      </c>
      <c r="B37" s="11" t="s">
        <v>508</v>
      </c>
      <c r="C37" s="11" t="s">
        <v>509</v>
      </c>
      <c r="D37" s="14" t="s">
        <v>191</v>
      </c>
      <c r="E37" s="14">
        <v>3</v>
      </c>
    </row>
    <row r="38" spans="1:5">
      <c r="A38" s="39" t="s">
        <v>513</v>
      </c>
      <c r="B38" s="40" t="s">
        <v>514</v>
      </c>
      <c r="C38" s="11" t="s">
        <v>515</v>
      </c>
      <c r="D38" s="14" t="s">
        <v>191</v>
      </c>
      <c r="E38" s="14" t="s">
        <v>837</v>
      </c>
    </row>
    <row r="39" spans="1:5">
      <c r="A39" s="47" t="s">
        <v>516</v>
      </c>
      <c r="B39" s="11" t="s">
        <v>519</v>
      </c>
      <c r="C39" s="11" t="s">
        <v>520</v>
      </c>
      <c r="D39" s="48" t="s">
        <v>826</v>
      </c>
      <c r="E39" s="14">
        <v>2507018</v>
      </c>
    </row>
  </sheetData>
  <mergeCells count="1">
    <mergeCell ref="A1:E1"/>
  </mergeCells>
  <pageMargins left="0.275" right="0.156944444444444" top="1" bottom="0.472222222222222" header="0.5" footer="0.5"/>
  <pageSetup paperSize="1" scale="96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170"/>
  <sheetViews>
    <sheetView workbookViewId="0">
      <selection activeCell="A55" sqref="A55:E55"/>
    </sheetView>
  </sheetViews>
  <sheetFormatPr defaultColWidth="9" defaultRowHeight="15"/>
  <cols>
    <col min="2" max="3" width="9" style="30"/>
    <col min="4" max="4" width="22.6666666666667" style="31" customWidth="1"/>
    <col min="5" max="5" width="30" style="31" customWidth="1"/>
    <col min="7" max="8" width="9" style="30"/>
    <col min="9" max="9" width="22.6666666666667" style="31" customWidth="1"/>
    <col min="10" max="10" width="30" style="31" customWidth="1"/>
  </cols>
  <sheetData>
    <row r="1" spans="2:10">
      <c r="B1" s="32" t="s">
        <v>838</v>
      </c>
      <c r="C1" s="32"/>
      <c r="D1" s="32"/>
      <c r="E1" s="32"/>
      <c r="G1" s="32" t="s">
        <v>838</v>
      </c>
      <c r="H1" s="32"/>
      <c r="I1" s="32"/>
      <c r="J1" s="32"/>
    </row>
    <row r="2" spans="2:10">
      <c r="B2" s="32" t="s">
        <v>839</v>
      </c>
      <c r="C2" s="32" t="s">
        <v>840</v>
      </c>
      <c r="D2" s="32" t="s">
        <v>841</v>
      </c>
      <c r="E2" s="32"/>
      <c r="G2" s="32" t="s">
        <v>839</v>
      </c>
      <c r="H2" s="32" t="s">
        <v>840</v>
      </c>
      <c r="I2" s="32" t="s">
        <v>841</v>
      </c>
      <c r="J2" s="32"/>
    </row>
    <row r="3" spans="2:10">
      <c r="B3" s="32"/>
      <c r="C3" s="32"/>
      <c r="D3" s="33"/>
      <c r="E3" s="33"/>
      <c r="G3" s="32"/>
      <c r="H3" s="32"/>
      <c r="I3" s="33"/>
      <c r="J3" s="33"/>
    </row>
    <row r="4" ht="16" customHeight="1" spans="2:10">
      <c r="B4" s="32">
        <v>2000</v>
      </c>
      <c r="C4" s="32" t="s">
        <v>842</v>
      </c>
      <c r="D4" s="34" t="s">
        <v>14</v>
      </c>
      <c r="E4" s="34" t="s">
        <v>15</v>
      </c>
      <c r="G4" s="32">
        <v>200</v>
      </c>
      <c r="H4" s="32" t="s">
        <v>842</v>
      </c>
      <c r="I4" s="34" t="s">
        <v>14</v>
      </c>
      <c r="J4" s="34" t="s">
        <v>15</v>
      </c>
    </row>
    <row r="5" spans="2:10">
      <c r="B5" s="32">
        <v>3000</v>
      </c>
      <c r="C5" s="32" t="s">
        <v>842</v>
      </c>
      <c r="D5" s="34" t="s">
        <v>36</v>
      </c>
      <c r="E5" s="34" t="s">
        <v>37</v>
      </c>
      <c r="G5" s="32">
        <v>200</v>
      </c>
      <c r="H5" s="32" t="s">
        <v>842</v>
      </c>
      <c r="I5" s="34" t="s">
        <v>36</v>
      </c>
      <c r="J5" s="34" t="s">
        <v>37</v>
      </c>
    </row>
    <row r="6" spans="2:10">
      <c r="B6" s="32">
        <v>2000</v>
      </c>
      <c r="C6" s="32" t="s">
        <v>842</v>
      </c>
      <c r="D6" s="35" t="s">
        <v>55</v>
      </c>
      <c r="E6" s="35" t="s">
        <v>58</v>
      </c>
      <c r="G6" s="32">
        <v>100</v>
      </c>
      <c r="H6" s="32" t="s">
        <v>842</v>
      </c>
      <c r="I6" s="35" t="s">
        <v>55</v>
      </c>
      <c r="J6" s="35" t="s">
        <v>58</v>
      </c>
    </row>
    <row r="7" spans="2:10">
      <c r="B7" s="32">
        <v>5000</v>
      </c>
      <c r="C7" s="32" t="s">
        <v>842</v>
      </c>
      <c r="D7" s="35" t="s">
        <v>73</v>
      </c>
      <c r="E7" s="35" t="s">
        <v>74</v>
      </c>
      <c r="G7" s="32">
        <v>500</v>
      </c>
      <c r="H7" s="32" t="s">
        <v>842</v>
      </c>
      <c r="I7" s="35" t="s">
        <v>73</v>
      </c>
      <c r="J7" s="35" t="s">
        <v>74</v>
      </c>
    </row>
    <row r="8" spans="2:10">
      <c r="B8" s="32">
        <v>2000</v>
      </c>
      <c r="C8" s="32" t="s">
        <v>842</v>
      </c>
      <c r="D8" s="35" t="s">
        <v>106</v>
      </c>
      <c r="E8" s="35" t="s">
        <v>107</v>
      </c>
      <c r="G8" s="32">
        <v>200</v>
      </c>
      <c r="H8" s="32" t="s">
        <v>842</v>
      </c>
      <c r="I8" s="35" t="s">
        <v>106</v>
      </c>
      <c r="J8" s="35" t="s">
        <v>107</v>
      </c>
    </row>
    <row r="9" spans="2:10">
      <c r="B9" s="32">
        <v>2000</v>
      </c>
      <c r="C9" s="32" t="s">
        <v>842</v>
      </c>
      <c r="D9" s="35" t="s">
        <v>109</v>
      </c>
      <c r="E9" s="35" t="s">
        <v>110</v>
      </c>
      <c r="G9" s="32">
        <v>200</v>
      </c>
      <c r="H9" s="32" t="s">
        <v>842</v>
      </c>
      <c r="I9" s="35" t="s">
        <v>109</v>
      </c>
      <c r="J9" s="35" t="s">
        <v>110</v>
      </c>
    </row>
    <row r="10" ht="16" customHeight="1" spans="2:10">
      <c r="B10" s="32">
        <v>2000</v>
      </c>
      <c r="C10" s="32" t="s">
        <v>842</v>
      </c>
      <c r="D10" s="35" t="s">
        <v>113</v>
      </c>
      <c r="E10" s="35" t="s">
        <v>114</v>
      </c>
      <c r="G10" s="32"/>
      <c r="H10" s="32"/>
      <c r="I10" s="35"/>
      <c r="J10" s="35"/>
    </row>
    <row r="11" spans="2:10">
      <c r="B11" s="32">
        <v>2000</v>
      </c>
      <c r="C11" s="32" t="s">
        <v>842</v>
      </c>
      <c r="D11" s="35" t="s">
        <v>113</v>
      </c>
      <c r="E11" s="35" t="s">
        <v>116</v>
      </c>
      <c r="G11" s="32"/>
      <c r="H11" s="32"/>
      <c r="I11" s="35"/>
      <c r="J11" s="35"/>
    </row>
    <row r="12" spans="2:10">
      <c r="B12" s="32">
        <v>3000</v>
      </c>
      <c r="C12" s="32" t="s">
        <v>842</v>
      </c>
      <c r="D12" s="35" t="s">
        <v>129</v>
      </c>
      <c r="E12" s="35" t="s">
        <v>130</v>
      </c>
      <c r="G12" s="32">
        <v>1000</v>
      </c>
      <c r="H12" s="32" t="s">
        <v>842</v>
      </c>
      <c r="I12" s="35" t="s">
        <v>129</v>
      </c>
      <c r="J12" s="35" t="s">
        <v>130</v>
      </c>
    </row>
    <row r="13" spans="2:10">
      <c r="B13" s="32">
        <v>1000</v>
      </c>
      <c r="C13" s="32" t="s">
        <v>842</v>
      </c>
      <c r="D13" s="35" t="s">
        <v>148</v>
      </c>
      <c r="E13" s="35" t="s">
        <v>146</v>
      </c>
      <c r="G13" s="32"/>
      <c r="H13" s="32"/>
      <c r="I13" s="35"/>
      <c r="J13" s="35"/>
    </row>
    <row r="14" spans="2:10">
      <c r="B14" s="32">
        <v>1000</v>
      </c>
      <c r="C14" s="32" t="s">
        <v>842</v>
      </c>
      <c r="D14" s="35" t="s">
        <v>150</v>
      </c>
      <c r="E14" s="35" t="s">
        <v>146</v>
      </c>
      <c r="G14" s="32"/>
      <c r="H14" s="32"/>
      <c r="I14" s="35"/>
      <c r="J14" s="35"/>
    </row>
    <row r="15" spans="2:10">
      <c r="B15" s="32">
        <v>5000</v>
      </c>
      <c r="C15" s="32" t="s">
        <v>842</v>
      </c>
      <c r="D15" s="35" t="s">
        <v>158</v>
      </c>
      <c r="E15" s="35" t="s">
        <v>159</v>
      </c>
      <c r="G15" s="32">
        <v>1000</v>
      </c>
      <c r="H15" s="32" t="s">
        <v>842</v>
      </c>
      <c r="I15" s="35" t="s">
        <v>158</v>
      </c>
      <c r="J15" s="35" t="s">
        <v>159</v>
      </c>
    </row>
    <row r="16" spans="2:10">
      <c r="B16" s="32">
        <v>3000</v>
      </c>
      <c r="C16" s="32" t="s">
        <v>842</v>
      </c>
      <c r="D16" s="35" t="s">
        <v>161</v>
      </c>
      <c r="E16" s="35" t="s">
        <v>162</v>
      </c>
      <c r="G16" s="32">
        <v>1000</v>
      </c>
      <c r="H16" s="32" t="s">
        <v>842</v>
      </c>
      <c r="I16" s="35" t="s">
        <v>161</v>
      </c>
      <c r="J16" s="35" t="s">
        <v>162</v>
      </c>
    </row>
    <row r="17" spans="2:10">
      <c r="B17" s="32">
        <v>3000</v>
      </c>
      <c r="C17" s="32" t="s">
        <v>842</v>
      </c>
      <c r="D17" s="35" t="s">
        <v>168</v>
      </c>
      <c r="E17" s="35" t="s">
        <v>169</v>
      </c>
      <c r="G17" s="32">
        <v>200</v>
      </c>
      <c r="H17" s="32" t="s">
        <v>842</v>
      </c>
      <c r="I17" s="35" t="s">
        <v>168</v>
      </c>
      <c r="J17" s="35" t="s">
        <v>169</v>
      </c>
    </row>
    <row r="18" spans="2:10">
      <c r="B18" s="32">
        <v>2000</v>
      </c>
      <c r="C18" s="32" t="s">
        <v>842</v>
      </c>
      <c r="D18" s="35" t="s">
        <v>199</v>
      </c>
      <c r="E18" s="35" t="s">
        <v>200</v>
      </c>
      <c r="G18" s="32">
        <v>200</v>
      </c>
      <c r="H18" s="32" t="s">
        <v>842</v>
      </c>
      <c r="I18" s="35" t="s">
        <v>199</v>
      </c>
      <c r="J18" s="35" t="s">
        <v>200</v>
      </c>
    </row>
    <row r="19" spans="2:10">
      <c r="B19" s="32">
        <v>2000</v>
      </c>
      <c r="C19" s="32" t="s">
        <v>842</v>
      </c>
      <c r="D19" s="35" t="s">
        <v>199</v>
      </c>
      <c r="E19" s="35" t="s">
        <v>202</v>
      </c>
      <c r="G19" s="32">
        <v>200</v>
      </c>
      <c r="H19" s="32" t="s">
        <v>842</v>
      </c>
      <c r="I19" s="35" t="s">
        <v>199</v>
      </c>
      <c r="J19" s="35" t="s">
        <v>202</v>
      </c>
    </row>
    <row r="20" spans="2:10">
      <c r="B20" s="32">
        <v>1000</v>
      </c>
      <c r="C20" s="32" t="s">
        <v>842</v>
      </c>
      <c r="D20" s="34" t="s">
        <v>247</v>
      </c>
      <c r="E20" s="34" t="s">
        <v>248</v>
      </c>
      <c r="G20" s="32">
        <v>500</v>
      </c>
      <c r="H20" s="32" t="s">
        <v>842</v>
      </c>
      <c r="I20" s="34" t="s">
        <v>247</v>
      </c>
      <c r="J20" s="34" t="s">
        <v>248</v>
      </c>
    </row>
    <row r="21" spans="2:10">
      <c r="B21" s="32">
        <v>500</v>
      </c>
      <c r="C21" s="32" t="s">
        <v>842</v>
      </c>
      <c r="D21" s="35" t="s">
        <v>249</v>
      </c>
      <c r="E21" s="35" t="s">
        <v>250</v>
      </c>
      <c r="G21" s="32"/>
      <c r="H21" s="32"/>
      <c r="I21" s="35"/>
      <c r="J21" s="35"/>
    </row>
    <row r="22" spans="2:10">
      <c r="B22" s="32">
        <v>2000</v>
      </c>
      <c r="C22" s="32" t="s">
        <v>842</v>
      </c>
      <c r="D22" s="35" t="s">
        <v>257</v>
      </c>
      <c r="E22" s="35" t="s">
        <v>258</v>
      </c>
      <c r="G22" s="32">
        <v>200</v>
      </c>
      <c r="H22" s="32" t="s">
        <v>842</v>
      </c>
      <c r="I22" s="35" t="s">
        <v>257</v>
      </c>
      <c r="J22" s="35" t="s">
        <v>258</v>
      </c>
    </row>
    <row r="23" spans="2:10">
      <c r="B23" s="32">
        <v>3000</v>
      </c>
      <c r="C23" s="32" t="s">
        <v>842</v>
      </c>
      <c r="D23" s="35" t="s">
        <v>280</v>
      </c>
      <c r="E23" s="35" t="s">
        <v>281</v>
      </c>
      <c r="G23" s="32">
        <v>300</v>
      </c>
      <c r="H23" s="32" t="s">
        <v>842</v>
      </c>
      <c r="I23" s="35" t="s">
        <v>280</v>
      </c>
      <c r="J23" s="35" t="s">
        <v>281</v>
      </c>
    </row>
    <row r="24" spans="2:10">
      <c r="B24" s="32">
        <v>5000</v>
      </c>
      <c r="C24" s="32" t="s">
        <v>842</v>
      </c>
      <c r="D24" s="35" t="s">
        <v>308</v>
      </c>
      <c r="E24" s="35" t="s">
        <v>309</v>
      </c>
      <c r="G24" s="32">
        <v>500</v>
      </c>
      <c r="H24" s="32" t="s">
        <v>842</v>
      </c>
      <c r="I24" s="35" t="s">
        <v>308</v>
      </c>
      <c r="J24" s="35" t="s">
        <v>309</v>
      </c>
    </row>
    <row r="25" spans="2:10">
      <c r="B25" s="32">
        <v>500</v>
      </c>
      <c r="C25" s="32" t="s">
        <v>842</v>
      </c>
      <c r="D25" s="35" t="s">
        <v>299</v>
      </c>
      <c r="E25" s="35" t="s">
        <v>306</v>
      </c>
      <c r="G25" s="32">
        <v>100</v>
      </c>
      <c r="H25" s="32" t="s">
        <v>842</v>
      </c>
      <c r="I25" s="35" t="s">
        <v>299</v>
      </c>
      <c r="J25" s="35" t="s">
        <v>306</v>
      </c>
    </row>
    <row r="26" spans="2:10">
      <c r="B26" s="32">
        <v>1000</v>
      </c>
      <c r="C26" s="32" t="s">
        <v>842</v>
      </c>
      <c r="D26" s="35" t="s">
        <v>311</v>
      </c>
      <c r="E26" s="35" t="s">
        <v>312</v>
      </c>
      <c r="G26" s="32">
        <v>500</v>
      </c>
      <c r="H26" s="32" t="s">
        <v>842</v>
      </c>
      <c r="I26" s="35" t="s">
        <v>311</v>
      </c>
      <c r="J26" s="35" t="s">
        <v>312</v>
      </c>
    </row>
    <row r="27" spans="2:10">
      <c r="B27" s="32">
        <v>2000</v>
      </c>
      <c r="C27" s="32" t="s">
        <v>842</v>
      </c>
      <c r="D27" s="35" t="s">
        <v>320</v>
      </c>
      <c r="E27" s="35" t="s">
        <v>321</v>
      </c>
      <c r="G27" s="32">
        <v>100</v>
      </c>
      <c r="H27" s="32" t="s">
        <v>842</v>
      </c>
      <c r="I27" s="35" t="s">
        <v>320</v>
      </c>
      <c r="J27" s="35" t="s">
        <v>321</v>
      </c>
    </row>
    <row r="28" spans="2:10">
      <c r="B28" s="32">
        <v>2000</v>
      </c>
      <c r="C28" s="32" t="s">
        <v>842</v>
      </c>
      <c r="D28" s="35" t="s">
        <v>350</v>
      </c>
      <c r="E28" s="35" t="s">
        <v>352</v>
      </c>
      <c r="G28" s="32">
        <v>100</v>
      </c>
      <c r="H28" s="32" t="s">
        <v>842</v>
      </c>
      <c r="I28" s="35" t="s">
        <v>350</v>
      </c>
      <c r="J28" s="35" t="s">
        <v>352</v>
      </c>
    </row>
    <row r="29" spans="2:10">
      <c r="B29" s="32">
        <v>3000</v>
      </c>
      <c r="C29" s="32" t="s">
        <v>842</v>
      </c>
      <c r="D29" s="34" t="s">
        <v>356</v>
      </c>
      <c r="E29" s="34" t="s">
        <v>357</v>
      </c>
      <c r="G29" s="32">
        <v>100</v>
      </c>
      <c r="H29" s="32" t="s">
        <v>842</v>
      </c>
      <c r="I29" s="34" t="s">
        <v>356</v>
      </c>
      <c r="J29" s="34" t="s">
        <v>357</v>
      </c>
    </row>
    <row r="30" spans="2:10">
      <c r="B30" s="32">
        <v>3000</v>
      </c>
      <c r="C30" s="32" t="s">
        <v>842</v>
      </c>
      <c r="D30" s="35" t="s">
        <v>359</v>
      </c>
      <c r="E30" s="35" t="s">
        <v>332</v>
      </c>
      <c r="G30" s="32">
        <v>500</v>
      </c>
      <c r="H30" s="32" t="s">
        <v>842</v>
      </c>
      <c r="I30" s="35" t="s">
        <v>359</v>
      </c>
      <c r="J30" s="35" t="s">
        <v>332</v>
      </c>
    </row>
    <row r="31" spans="2:10">
      <c r="B31" s="32">
        <v>1000</v>
      </c>
      <c r="C31" s="32" t="s">
        <v>842</v>
      </c>
      <c r="D31" s="35" t="s">
        <v>379</v>
      </c>
      <c r="E31" s="35" t="s">
        <v>380</v>
      </c>
      <c r="G31" s="32">
        <v>100</v>
      </c>
      <c r="H31" s="32" t="s">
        <v>842</v>
      </c>
      <c r="I31" s="35" t="s">
        <v>379</v>
      </c>
      <c r="J31" s="35" t="s">
        <v>380</v>
      </c>
    </row>
    <row r="32" ht="17" customHeight="1" spans="2:10">
      <c r="B32" s="32">
        <v>1000</v>
      </c>
      <c r="C32" s="32" t="s">
        <v>842</v>
      </c>
      <c r="D32" s="35" t="s">
        <v>382</v>
      </c>
      <c r="E32" s="35" t="s">
        <v>383</v>
      </c>
      <c r="G32" s="32">
        <v>500</v>
      </c>
      <c r="H32" s="32" t="s">
        <v>842</v>
      </c>
      <c r="I32" s="35" t="s">
        <v>382</v>
      </c>
      <c r="J32" s="35" t="s">
        <v>383</v>
      </c>
    </row>
    <row r="33" spans="2:10">
      <c r="B33" s="32">
        <v>5000</v>
      </c>
      <c r="C33" s="32" t="s">
        <v>842</v>
      </c>
      <c r="D33" s="35" t="s">
        <v>391</v>
      </c>
      <c r="E33" s="35" t="s">
        <v>392</v>
      </c>
      <c r="G33" s="32">
        <v>500</v>
      </c>
      <c r="H33" s="32" t="s">
        <v>842</v>
      </c>
      <c r="I33" s="35" t="s">
        <v>391</v>
      </c>
      <c r="J33" s="35" t="s">
        <v>392</v>
      </c>
    </row>
    <row r="34" spans="2:10">
      <c r="B34" s="32">
        <v>2000</v>
      </c>
      <c r="C34" s="32" t="s">
        <v>842</v>
      </c>
      <c r="D34" s="35" t="s">
        <v>405</v>
      </c>
      <c r="E34" s="35" t="s">
        <v>406</v>
      </c>
      <c r="G34" s="32">
        <v>1000</v>
      </c>
      <c r="H34" s="32" t="s">
        <v>842</v>
      </c>
      <c r="I34" s="35" t="s">
        <v>405</v>
      </c>
      <c r="J34" s="35" t="s">
        <v>406</v>
      </c>
    </row>
    <row r="35" spans="2:10">
      <c r="B35" s="32">
        <v>5000</v>
      </c>
      <c r="C35" s="32" t="s">
        <v>842</v>
      </c>
      <c r="D35" s="35" t="s">
        <v>422</v>
      </c>
      <c r="E35" s="35" t="s">
        <v>423</v>
      </c>
      <c r="G35" s="32">
        <v>1000</v>
      </c>
      <c r="H35" s="32" t="s">
        <v>842</v>
      </c>
      <c r="I35" s="35" t="s">
        <v>422</v>
      </c>
      <c r="J35" s="35" t="s">
        <v>423</v>
      </c>
    </row>
    <row r="36" ht="30" spans="2:10">
      <c r="B36" s="32">
        <v>2000</v>
      </c>
      <c r="C36" s="32" t="s">
        <v>842</v>
      </c>
      <c r="D36" s="35" t="s">
        <v>439</v>
      </c>
      <c r="E36" s="35" t="s">
        <v>440</v>
      </c>
      <c r="G36" s="36">
        <v>500</v>
      </c>
      <c r="H36" s="32" t="s">
        <v>842</v>
      </c>
      <c r="I36" s="35" t="s">
        <v>439</v>
      </c>
      <c r="J36" s="35" t="s">
        <v>440</v>
      </c>
    </row>
    <row r="37" spans="2:10">
      <c r="B37" s="32">
        <v>1000</v>
      </c>
      <c r="C37" s="32" t="s">
        <v>842</v>
      </c>
      <c r="D37" s="35" t="s">
        <v>414</v>
      </c>
      <c r="E37" s="35" t="s">
        <v>415</v>
      </c>
      <c r="G37" s="32"/>
      <c r="H37" s="32"/>
      <c r="I37" s="35"/>
      <c r="J37" s="35"/>
    </row>
    <row r="38" spans="2:10">
      <c r="B38" s="32">
        <v>500</v>
      </c>
      <c r="C38" s="32" t="s">
        <v>842</v>
      </c>
      <c r="D38" s="35" t="s">
        <v>414</v>
      </c>
      <c r="E38" s="35" t="s">
        <v>416</v>
      </c>
      <c r="G38" s="32"/>
      <c r="H38" s="32"/>
      <c r="I38" s="35"/>
      <c r="J38" s="35"/>
    </row>
    <row r="39" spans="2:10">
      <c r="B39" s="32">
        <v>1000</v>
      </c>
      <c r="C39" s="32" t="s">
        <v>842</v>
      </c>
      <c r="D39" s="35" t="s">
        <v>470</v>
      </c>
      <c r="E39" s="35" t="s">
        <v>471</v>
      </c>
      <c r="G39" s="32">
        <v>1000</v>
      </c>
      <c r="H39" s="32" t="s">
        <v>842</v>
      </c>
      <c r="I39" s="35" t="s">
        <v>470</v>
      </c>
      <c r="J39" s="35" t="s">
        <v>471</v>
      </c>
    </row>
    <row r="40" spans="2:10">
      <c r="B40" s="32">
        <v>3000</v>
      </c>
      <c r="C40" s="32" t="s">
        <v>842</v>
      </c>
      <c r="D40" s="35" t="s">
        <v>495</v>
      </c>
      <c r="E40" s="35" t="s">
        <v>496</v>
      </c>
      <c r="G40" s="32">
        <v>500</v>
      </c>
      <c r="H40" s="32" t="s">
        <v>842</v>
      </c>
      <c r="I40" s="35" t="s">
        <v>495</v>
      </c>
      <c r="J40" s="35" t="s">
        <v>496</v>
      </c>
    </row>
    <row r="41" spans="2:10">
      <c r="B41" s="32">
        <v>3000</v>
      </c>
      <c r="C41" s="32" t="s">
        <v>842</v>
      </c>
      <c r="D41" s="35" t="s">
        <v>498</v>
      </c>
      <c r="E41" s="35" t="s">
        <v>499</v>
      </c>
      <c r="G41" s="32">
        <v>500</v>
      </c>
      <c r="H41" s="32" t="s">
        <v>842</v>
      </c>
      <c r="I41" s="35" t="s">
        <v>498</v>
      </c>
      <c r="J41" s="35" t="s">
        <v>499</v>
      </c>
    </row>
    <row r="42" spans="2:10">
      <c r="B42" s="32"/>
      <c r="C42" s="32"/>
      <c r="D42" s="37"/>
      <c r="E42" s="37"/>
      <c r="G42" s="32"/>
      <c r="H42" s="32"/>
      <c r="I42" s="37"/>
      <c r="J42" s="37"/>
    </row>
    <row r="43" spans="2:10">
      <c r="B43" s="32"/>
      <c r="C43" s="32"/>
      <c r="D43" s="32" t="s">
        <v>843</v>
      </c>
      <c r="E43" s="32"/>
      <c r="G43" s="32"/>
      <c r="H43" s="32"/>
      <c r="I43" s="32"/>
      <c r="J43" s="32"/>
    </row>
    <row r="44" spans="2:10">
      <c r="B44" s="32">
        <v>100</v>
      </c>
      <c r="C44" s="32" t="s">
        <v>842</v>
      </c>
      <c r="D44" s="35" t="s">
        <v>20</v>
      </c>
      <c r="E44" s="35" t="s">
        <v>21</v>
      </c>
      <c r="G44" s="32"/>
      <c r="H44" s="32"/>
      <c r="I44" s="35"/>
      <c r="J44" s="35"/>
    </row>
    <row r="45" spans="2:10">
      <c r="B45" s="32">
        <v>100</v>
      </c>
      <c r="C45" s="32" t="s">
        <v>842</v>
      </c>
      <c r="D45" s="35" t="s">
        <v>28</v>
      </c>
      <c r="E45" s="35" t="s">
        <v>29</v>
      </c>
      <c r="G45" s="32"/>
      <c r="H45" s="32"/>
      <c r="I45" s="35"/>
      <c r="J45" s="35"/>
    </row>
    <row r="46" ht="30" spans="2:10">
      <c r="B46" s="32">
        <v>20</v>
      </c>
      <c r="C46" s="32" t="s">
        <v>842</v>
      </c>
      <c r="D46" s="35" t="s">
        <v>39</v>
      </c>
      <c r="E46" s="35" t="s">
        <v>44</v>
      </c>
      <c r="G46" s="32"/>
      <c r="H46" s="32"/>
      <c r="I46" s="35"/>
      <c r="J46" s="35"/>
    </row>
    <row r="47" spans="2:10">
      <c r="B47" s="32">
        <v>200</v>
      </c>
      <c r="C47" s="32" t="s">
        <v>842</v>
      </c>
      <c r="D47" s="35" t="s">
        <v>47</v>
      </c>
      <c r="E47" s="35" t="s">
        <v>48</v>
      </c>
      <c r="G47" s="32"/>
      <c r="H47" s="32"/>
      <c r="I47" s="35"/>
      <c r="J47" s="35"/>
    </row>
    <row r="48" spans="2:10">
      <c r="B48" s="32">
        <v>100</v>
      </c>
      <c r="C48" s="32" t="s">
        <v>842</v>
      </c>
      <c r="D48" s="35" t="s">
        <v>50</v>
      </c>
      <c r="E48" s="35" t="s">
        <v>51</v>
      </c>
      <c r="G48" s="32"/>
      <c r="H48" s="32"/>
      <c r="I48" s="35"/>
      <c r="J48" s="35"/>
    </row>
    <row r="49" spans="2:10">
      <c r="B49" s="32">
        <v>200</v>
      </c>
      <c r="C49" s="32" t="s">
        <v>842</v>
      </c>
      <c r="D49" s="35" t="s">
        <v>70</v>
      </c>
      <c r="E49" s="35" t="s">
        <v>71</v>
      </c>
      <c r="G49" s="32"/>
      <c r="H49" s="32"/>
      <c r="I49" s="35"/>
      <c r="J49" s="35"/>
    </row>
    <row r="50" ht="30" spans="2:10">
      <c r="B50" s="32">
        <v>200</v>
      </c>
      <c r="C50" s="32" t="s">
        <v>842</v>
      </c>
      <c r="D50" s="35" t="s">
        <v>76</v>
      </c>
      <c r="E50" s="35" t="s">
        <v>77</v>
      </c>
      <c r="G50" s="32"/>
      <c r="H50" s="32"/>
      <c r="I50" s="35"/>
      <c r="J50" s="35"/>
    </row>
    <row r="51" customHeight="1" spans="2:10">
      <c r="B51" s="32">
        <v>100</v>
      </c>
      <c r="C51" s="32" t="s">
        <v>842</v>
      </c>
      <c r="D51" s="35" t="s">
        <v>81</v>
      </c>
      <c r="E51" s="35" t="s">
        <v>82</v>
      </c>
      <c r="G51" s="32"/>
      <c r="H51" s="32"/>
      <c r="I51" s="35"/>
      <c r="J51" s="35"/>
    </row>
    <row r="52" spans="2:10">
      <c r="B52" s="32">
        <v>500</v>
      </c>
      <c r="C52" s="32" t="s">
        <v>842</v>
      </c>
      <c r="D52" s="35" t="s">
        <v>109</v>
      </c>
      <c r="E52" s="35" t="s">
        <v>112</v>
      </c>
      <c r="G52" s="32"/>
      <c r="H52" s="32"/>
      <c r="I52" s="35"/>
      <c r="J52" s="35"/>
    </row>
    <row r="53" ht="30" spans="2:10">
      <c r="B53" s="32">
        <v>100</v>
      </c>
      <c r="C53" s="32" t="s">
        <v>842</v>
      </c>
      <c r="D53" s="35" t="s">
        <v>138</v>
      </c>
      <c r="E53" s="35" t="s">
        <v>139</v>
      </c>
      <c r="G53" s="32"/>
      <c r="H53" s="32"/>
      <c r="I53" s="35"/>
      <c r="J53" s="35"/>
    </row>
    <row r="54" ht="18" customHeight="1" spans="2:10">
      <c r="B54" s="32">
        <v>100</v>
      </c>
      <c r="C54" s="32" t="s">
        <v>842</v>
      </c>
      <c r="D54" s="35" t="s">
        <v>140</v>
      </c>
      <c r="E54" s="35" t="s">
        <v>141</v>
      </c>
      <c r="G54" s="32"/>
      <c r="H54" s="32"/>
      <c r="I54" s="35"/>
      <c r="J54" s="35"/>
    </row>
    <row r="55" ht="30" spans="2:10">
      <c r="B55" s="32">
        <v>20</v>
      </c>
      <c r="C55" s="32" t="s">
        <v>842</v>
      </c>
      <c r="D55" s="35" t="s">
        <v>161</v>
      </c>
      <c r="E55" s="35" t="s">
        <v>166</v>
      </c>
      <c r="G55" s="32"/>
      <c r="H55" s="32"/>
      <c r="I55" s="35"/>
      <c r="J55" s="35"/>
    </row>
    <row r="56" spans="2:10">
      <c r="B56" s="32">
        <v>100</v>
      </c>
      <c r="C56" s="32" t="s">
        <v>842</v>
      </c>
      <c r="D56" s="35" t="s">
        <v>181</v>
      </c>
      <c r="E56" s="35" t="s">
        <v>182</v>
      </c>
      <c r="G56" s="32"/>
      <c r="H56" s="32"/>
      <c r="I56" s="35"/>
      <c r="J56" s="35"/>
    </row>
    <row r="57" spans="2:10">
      <c r="B57" s="32">
        <v>500</v>
      </c>
      <c r="C57" s="32" t="s">
        <v>842</v>
      </c>
      <c r="D57" s="35" t="s">
        <v>228</v>
      </c>
      <c r="E57" s="35" t="s">
        <v>229</v>
      </c>
      <c r="G57" s="32"/>
      <c r="H57" s="32"/>
      <c r="I57" s="35"/>
      <c r="J57" s="35"/>
    </row>
    <row r="58" spans="2:10">
      <c r="B58" s="32">
        <v>100</v>
      </c>
      <c r="C58" s="32" t="s">
        <v>842</v>
      </c>
      <c r="D58" s="35" t="s">
        <v>238</v>
      </c>
      <c r="E58" s="35" t="s">
        <v>239</v>
      </c>
      <c r="G58" s="32"/>
      <c r="H58" s="32"/>
      <c r="I58" s="35"/>
      <c r="J58" s="35"/>
    </row>
    <row r="59" spans="2:10">
      <c r="B59" s="32">
        <v>500</v>
      </c>
      <c r="C59" s="32" t="s">
        <v>842</v>
      </c>
      <c r="D59" s="35" t="s">
        <v>244</v>
      </c>
      <c r="E59" s="35" t="s">
        <v>245</v>
      </c>
      <c r="G59" s="32"/>
      <c r="H59" s="32"/>
      <c r="I59" s="35"/>
      <c r="J59" s="35"/>
    </row>
    <row r="60" spans="2:10">
      <c r="B60" s="32">
        <v>50</v>
      </c>
      <c r="C60" s="32" t="s">
        <v>842</v>
      </c>
      <c r="D60" s="35" t="s">
        <v>255</v>
      </c>
      <c r="E60" s="35" t="s">
        <v>256</v>
      </c>
      <c r="G60" s="32"/>
      <c r="H60" s="32"/>
      <c r="I60" s="35"/>
      <c r="J60" s="35"/>
    </row>
    <row r="61" spans="2:10">
      <c r="B61" s="32">
        <v>200</v>
      </c>
      <c r="C61" s="32" t="s">
        <v>842</v>
      </c>
      <c r="D61" s="35" t="s">
        <v>289</v>
      </c>
      <c r="E61" s="35" t="s">
        <v>290</v>
      </c>
      <c r="G61" s="32"/>
      <c r="H61" s="32"/>
      <c r="I61" s="35"/>
      <c r="J61" s="35"/>
    </row>
    <row r="62" spans="2:10">
      <c r="B62" s="32">
        <v>100</v>
      </c>
      <c r="C62" s="32" t="s">
        <v>842</v>
      </c>
      <c r="D62" s="35" t="s">
        <v>320</v>
      </c>
      <c r="E62" s="35" t="s">
        <v>323</v>
      </c>
      <c r="G62" s="32"/>
      <c r="H62" s="32"/>
      <c r="I62" s="35"/>
      <c r="J62" s="35"/>
    </row>
    <row r="63" spans="2:10">
      <c r="B63" s="32">
        <v>500</v>
      </c>
      <c r="C63" s="32" t="s">
        <v>842</v>
      </c>
      <c r="D63" s="35" t="s">
        <v>331</v>
      </c>
      <c r="E63" s="35" t="s">
        <v>332</v>
      </c>
      <c r="G63" s="32"/>
      <c r="H63" s="32"/>
      <c r="I63" s="35"/>
      <c r="J63" s="35"/>
    </row>
    <row r="64" spans="2:10">
      <c r="B64" s="32">
        <v>1000</v>
      </c>
      <c r="C64" s="32" t="s">
        <v>842</v>
      </c>
      <c r="D64" s="35" t="s">
        <v>350</v>
      </c>
      <c r="E64" s="35" t="s">
        <v>351</v>
      </c>
      <c r="G64" s="32"/>
      <c r="H64" s="32"/>
      <c r="I64" s="35"/>
      <c r="J64" s="35"/>
    </row>
    <row r="65" spans="2:10">
      <c r="B65" s="32">
        <v>200</v>
      </c>
      <c r="C65" s="32" t="s">
        <v>842</v>
      </c>
      <c r="D65" s="35" t="s">
        <v>844</v>
      </c>
      <c r="E65" s="35" t="s">
        <v>419</v>
      </c>
      <c r="G65" s="32"/>
      <c r="H65" s="32"/>
      <c r="I65" s="35"/>
      <c r="J65" s="35"/>
    </row>
    <row r="66" spans="2:10">
      <c r="B66" s="32">
        <v>500</v>
      </c>
      <c r="C66" s="32" t="s">
        <v>842</v>
      </c>
      <c r="D66" s="35" t="s">
        <v>376</v>
      </c>
      <c r="E66" s="35" t="s">
        <v>377</v>
      </c>
      <c r="G66" s="32"/>
      <c r="H66" s="32"/>
      <c r="I66" s="35"/>
      <c r="J66" s="35"/>
    </row>
    <row r="67" spans="2:10">
      <c r="B67" s="32">
        <v>2000</v>
      </c>
      <c r="C67" s="32" t="s">
        <v>842</v>
      </c>
      <c r="D67" s="35" t="s">
        <v>396</v>
      </c>
      <c r="E67" s="35" t="s">
        <v>397</v>
      </c>
      <c r="G67" s="32"/>
      <c r="H67" s="32"/>
      <c r="I67" s="35"/>
      <c r="J67" s="35"/>
    </row>
    <row r="68" spans="2:10">
      <c r="B68" s="32">
        <v>200</v>
      </c>
      <c r="C68" s="32" t="s">
        <v>842</v>
      </c>
      <c r="D68" s="35" t="s">
        <v>402</v>
      </c>
      <c r="E68" s="35" t="s">
        <v>403</v>
      </c>
      <c r="G68" s="32"/>
      <c r="H68" s="32"/>
      <c r="I68" s="35"/>
      <c r="J68" s="35"/>
    </row>
    <row r="69" spans="2:10">
      <c r="B69" s="32">
        <v>20</v>
      </c>
      <c r="C69" s="32" t="s">
        <v>842</v>
      </c>
      <c r="D69" s="34" t="s">
        <v>418</v>
      </c>
      <c r="E69" s="34" t="s">
        <v>428</v>
      </c>
      <c r="G69" s="32"/>
      <c r="H69" s="32"/>
      <c r="I69" s="34"/>
      <c r="J69" s="34"/>
    </row>
    <row r="70" spans="2:10">
      <c r="B70" s="32">
        <v>100</v>
      </c>
      <c r="C70" s="32" t="s">
        <v>842</v>
      </c>
      <c r="D70" s="35" t="s">
        <v>430</v>
      </c>
      <c r="E70" s="35" t="s">
        <v>433</v>
      </c>
      <c r="G70" s="32"/>
      <c r="H70" s="32"/>
      <c r="I70" s="35"/>
      <c r="J70" s="35"/>
    </row>
    <row r="71" spans="2:10">
      <c r="B71" s="32">
        <v>300</v>
      </c>
      <c r="C71" s="32" t="s">
        <v>842</v>
      </c>
      <c r="D71" s="34" t="s">
        <v>434</v>
      </c>
      <c r="E71" s="34" t="s">
        <v>435</v>
      </c>
      <c r="G71" s="32"/>
      <c r="H71" s="32"/>
      <c r="I71" s="34"/>
      <c r="J71" s="34"/>
    </row>
    <row r="72" customHeight="1" spans="2:10">
      <c r="B72" s="32">
        <v>3000</v>
      </c>
      <c r="C72" s="32" t="s">
        <v>842</v>
      </c>
      <c r="D72" s="35" t="s">
        <v>452</v>
      </c>
      <c r="E72" s="35" t="s">
        <v>453</v>
      </c>
      <c r="G72" s="32"/>
      <c r="H72" s="32"/>
      <c r="I72" s="35"/>
      <c r="J72" s="35"/>
    </row>
    <row r="73" spans="2:10">
      <c r="B73" s="32">
        <v>500</v>
      </c>
      <c r="C73" s="32" t="s">
        <v>842</v>
      </c>
      <c r="D73" s="35" t="s">
        <v>483</v>
      </c>
      <c r="E73" s="35" t="s">
        <v>484</v>
      </c>
      <c r="G73" s="32"/>
      <c r="H73" s="32"/>
      <c r="I73" s="35"/>
      <c r="J73" s="35"/>
    </row>
    <row r="74" spans="2:10">
      <c r="B74" s="32">
        <v>500</v>
      </c>
      <c r="C74" s="32" t="s">
        <v>842</v>
      </c>
      <c r="D74" s="35" t="s">
        <v>501</v>
      </c>
      <c r="E74" s="35" t="s">
        <v>56</v>
      </c>
      <c r="G74" s="32"/>
      <c r="H74" s="32"/>
      <c r="I74" s="35"/>
      <c r="J74" s="35"/>
    </row>
    <row r="75" spans="2:10">
      <c r="B75" s="32">
        <v>50</v>
      </c>
      <c r="C75" s="32" t="s">
        <v>842</v>
      </c>
      <c r="D75" s="35" t="s">
        <v>522</v>
      </c>
      <c r="E75" s="35" t="s">
        <v>523</v>
      </c>
      <c r="G75" s="32"/>
      <c r="H75" s="32"/>
      <c r="I75" s="35"/>
      <c r="J75" s="35"/>
    </row>
    <row r="76" spans="2:10">
      <c r="B76" s="32">
        <v>50</v>
      </c>
      <c r="C76" s="32" t="s">
        <v>842</v>
      </c>
      <c r="D76" s="34" t="s">
        <v>524</v>
      </c>
      <c r="E76" s="34" t="s">
        <v>56</v>
      </c>
      <c r="G76" s="32"/>
      <c r="H76" s="32"/>
      <c r="I76" s="34"/>
      <c r="J76" s="34"/>
    </row>
    <row r="77" spans="2:10">
      <c r="B77" s="32">
        <v>300</v>
      </c>
      <c r="C77" s="32" t="s">
        <v>842</v>
      </c>
      <c r="D77" s="35" t="s">
        <v>525</v>
      </c>
      <c r="E77" s="35" t="s">
        <v>526</v>
      </c>
      <c r="G77" s="32"/>
      <c r="H77" s="32"/>
      <c r="I77" s="35"/>
      <c r="J77" s="35"/>
    </row>
    <row r="78" spans="2:10">
      <c r="B78" s="32"/>
      <c r="C78" s="32"/>
      <c r="D78" s="37"/>
      <c r="E78" s="37"/>
      <c r="G78" s="32"/>
      <c r="H78" s="32"/>
      <c r="I78" s="37"/>
      <c r="J78" s="37"/>
    </row>
    <row r="79" spans="2:10">
      <c r="B79" s="32"/>
      <c r="C79" s="32"/>
      <c r="D79" s="32" t="s">
        <v>845</v>
      </c>
      <c r="E79" s="32"/>
      <c r="G79" s="32"/>
      <c r="H79" s="32"/>
      <c r="I79" s="32" t="s">
        <v>845</v>
      </c>
      <c r="J79" s="32"/>
    </row>
    <row r="80" spans="2:10">
      <c r="B80" s="32">
        <v>3000</v>
      </c>
      <c r="C80" s="32" t="s">
        <v>842</v>
      </c>
      <c r="D80" s="38" t="s">
        <v>559</v>
      </c>
      <c r="E80" s="38" t="s">
        <v>560</v>
      </c>
      <c r="G80" s="32">
        <v>200</v>
      </c>
      <c r="H80" s="32" t="s">
        <v>842</v>
      </c>
      <c r="I80" s="38" t="s">
        <v>559</v>
      </c>
      <c r="J80" s="38" t="s">
        <v>560</v>
      </c>
    </row>
    <row r="81" spans="2:10">
      <c r="B81" s="32">
        <v>100</v>
      </c>
      <c r="C81" s="32" t="s">
        <v>842</v>
      </c>
      <c r="D81" s="38" t="s">
        <v>568</v>
      </c>
      <c r="E81" s="38" t="s">
        <v>569</v>
      </c>
      <c r="G81" s="32">
        <v>500</v>
      </c>
      <c r="H81" s="32" t="s">
        <v>842</v>
      </c>
      <c r="I81" s="38" t="s">
        <v>846</v>
      </c>
      <c r="J81" s="38"/>
    </row>
    <row r="82" spans="2:10">
      <c r="B82" s="32">
        <v>1000</v>
      </c>
      <c r="C82" s="32" t="s">
        <v>842</v>
      </c>
      <c r="D82" s="38" t="s">
        <v>588</v>
      </c>
      <c r="E82" s="38" t="s">
        <v>589</v>
      </c>
      <c r="G82" s="32">
        <v>100</v>
      </c>
      <c r="H82" s="32" t="s">
        <v>842</v>
      </c>
      <c r="I82" s="38" t="s">
        <v>588</v>
      </c>
      <c r="J82" s="38" t="s">
        <v>589</v>
      </c>
    </row>
    <row r="83" spans="2:10">
      <c r="B83" s="32"/>
      <c r="C83" s="32"/>
      <c r="D83" s="37"/>
      <c r="E83" s="37"/>
      <c r="G83" s="32"/>
      <c r="H83" s="32"/>
      <c r="I83" s="37"/>
      <c r="J83" s="37"/>
    </row>
    <row r="84" spans="2:10">
      <c r="B84" s="32"/>
      <c r="C84" s="32"/>
      <c r="D84" s="32" t="s">
        <v>847</v>
      </c>
      <c r="E84" s="32"/>
      <c r="G84" s="32"/>
      <c r="H84" s="32"/>
      <c r="I84" s="32" t="s">
        <v>847</v>
      </c>
      <c r="J84" s="32"/>
    </row>
    <row r="85" spans="2:10">
      <c r="B85" s="32">
        <v>500</v>
      </c>
      <c r="C85" s="32" t="s">
        <v>842</v>
      </c>
      <c r="D85" s="35" t="s">
        <v>597</v>
      </c>
      <c r="E85" s="35" t="s">
        <v>598</v>
      </c>
      <c r="G85" s="32"/>
      <c r="H85" s="32"/>
      <c r="I85" s="35"/>
      <c r="J85" s="35"/>
    </row>
    <row r="86" spans="2:10">
      <c r="B86" s="32">
        <v>500</v>
      </c>
      <c r="C86" s="32" t="s">
        <v>842</v>
      </c>
      <c r="D86" s="35" t="s">
        <v>605</v>
      </c>
      <c r="E86" s="35" t="s">
        <v>598</v>
      </c>
      <c r="G86" s="32"/>
      <c r="H86" s="32"/>
      <c r="I86" s="35"/>
      <c r="J86" s="35"/>
    </row>
    <row r="87" spans="2:10">
      <c r="B87" s="32">
        <v>5000</v>
      </c>
      <c r="C87" s="32" t="s">
        <v>842</v>
      </c>
      <c r="D87" s="34" t="s">
        <v>608</v>
      </c>
      <c r="E87" s="34" t="s">
        <v>609</v>
      </c>
      <c r="G87" s="32">
        <v>15</v>
      </c>
      <c r="H87" s="32" t="s">
        <v>848</v>
      </c>
      <c r="I87" s="34" t="s">
        <v>608</v>
      </c>
      <c r="J87" s="34" t="s">
        <v>609</v>
      </c>
    </row>
    <row r="88" spans="2:10">
      <c r="B88" s="32">
        <v>5000</v>
      </c>
      <c r="C88" s="32" t="s">
        <v>842</v>
      </c>
      <c r="D88" s="35" t="s">
        <v>611</v>
      </c>
      <c r="E88" s="34" t="s">
        <v>609</v>
      </c>
      <c r="G88" s="32">
        <v>20</v>
      </c>
      <c r="H88" s="32" t="s">
        <v>848</v>
      </c>
      <c r="I88" s="35" t="s">
        <v>611</v>
      </c>
      <c r="J88" s="34" t="s">
        <v>609</v>
      </c>
    </row>
    <row r="89" spans="2:10">
      <c r="B89" s="32">
        <v>1000</v>
      </c>
      <c r="C89" s="32" t="s">
        <v>842</v>
      </c>
      <c r="D89" s="35" t="s">
        <v>613</v>
      </c>
      <c r="E89" s="35" t="s">
        <v>614</v>
      </c>
      <c r="G89" s="32">
        <v>20</v>
      </c>
      <c r="H89" s="32" t="s">
        <v>848</v>
      </c>
      <c r="I89" s="35" t="s">
        <v>613</v>
      </c>
      <c r="J89" s="35" t="s">
        <v>614</v>
      </c>
    </row>
    <row r="90" ht="16" customHeight="1" spans="2:10">
      <c r="B90" s="32">
        <v>2000</v>
      </c>
      <c r="C90" s="32" t="s">
        <v>842</v>
      </c>
      <c r="D90" s="35" t="s">
        <v>595</v>
      </c>
      <c r="E90" s="35" t="s">
        <v>596</v>
      </c>
      <c r="G90" s="32">
        <v>15</v>
      </c>
      <c r="H90" s="32" t="s">
        <v>848</v>
      </c>
      <c r="I90" s="35" t="s">
        <v>595</v>
      </c>
      <c r="J90" s="35" t="s">
        <v>596</v>
      </c>
    </row>
    <row r="91" spans="2:10">
      <c r="B91" s="32">
        <v>500</v>
      </c>
      <c r="C91" s="32" t="s">
        <v>842</v>
      </c>
      <c r="D91" s="35" t="s">
        <v>599</v>
      </c>
      <c r="E91" s="35" t="s">
        <v>596</v>
      </c>
      <c r="G91" s="32"/>
      <c r="H91" s="32"/>
      <c r="I91" s="35"/>
      <c r="J91" s="35"/>
    </row>
    <row r="92" spans="2:10">
      <c r="B92" s="32">
        <v>500</v>
      </c>
      <c r="C92" s="32" t="s">
        <v>842</v>
      </c>
      <c r="D92" s="35" t="s">
        <v>601</v>
      </c>
      <c r="E92" s="35" t="s">
        <v>596</v>
      </c>
      <c r="G92" s="32"/>
      <c r="H92" s="32"/>
      <c r="I92" s="35"/>
      <c r="J92" s="35"/>
    </row>
    <row r="93" spans="2:10">
      <c r="B93" s="32">
        <v>200</v>
      </c>
      <c r="C93" s="32" t="s">
        <v>842</v>
      </c>
      <c r="D93" s="35" t="s">
        <v>603</v>
      </c>
      <c r="E93" s="35" t="s">
        <v>596</v>
      </c>
      <c r="G93" s="32"/>
      <c r="H93" s="32"/>
      <c r="I93" s="35"/>
      <c r="J93" s="35"/>
    </row>
    <row r="94" spans="2:10">
      <c r="B94" s="32">
        <v>500</v>
      </c>
      <c r="C94" s="32" t="s">
        <v>842</v>
      </c>
      <c r="D94" s="35" t="s">
        <v>612</v>
      </c>
      <c r="E94" s="35" t="s">
        <v>596</v>
      </c>
      <c r="G94" s="32"/>
      <c r="H94" s="32"/>
      <c r="I94" s="35"/>
      <c r="J94" s="35"/>
    </row>
    <row r="95" customHeight="1" spans="2:10">
      <c r="B95" s="32">
        <v>300</v>
      </c>
      <c r="C95" s="32" t="s">
        <v>842</v>
      </c>
      <c r="D95" s="35" t="s">
        <v>849</v>
      </c>
      <c r="E95" s="35" t="s">
        <v>596</v>
      </c>
      <c r="G95" s="32"/>
      <c r="H95" s="32"/>
      <c r="I95" s="35"/>
      <c r="J95" s="35"/>
    </row>
    <row r="96" spans="2:10">
      <c r="B96" s="32"/>
      <c r="C96" s="32"/>
      <c r="D96" s="37"/>
      <c r="E96" s="37"/>
      <c r="G96" s="32"/>
      <c r="H96" s="32"/>
      <c r="I96" s="37"/>
      <c r="J96" s="37"/>
    </row>
    <row r="97" spans="2:10">
      <c r="B97" s="32"/>
      <c r="C97" s="32"/>
      <c r="D97" s="32" t="s">
        <v>616</v>
      </c>
      <c r="E97" s="32"/>
      <c r="G97" s="32"/>
      <c r="H97" s="32"/>
      <c r="I97" s="32"/>
      <c r="J97" s="32"/>
    </row>
    <row r="98" spans="2:10">
      <c r="B98" s="32">
        <v>200</v>
      </c>
      <c r="C98" s="32" t="s">
        <v>842</v>
      </c>
      <c r="D98" s="35" t="s">
        <v>622</v>
      </c>
      <c r="E98" s="35" t="s">
        <v>620</v>
      </c>
      <c r="G98" s="32"/>
      <c r="H98" s="32"/>
      <c r="I98" s="35"/>
      <c r="J98" s="35"/>
    </row>
    <row r="99" spans="2:10">
      <c r="B99" s="32">
        <v>200</v>
      </c>
      <c r="C99" s="32" t="s">
        <v>842</v>
      </c>
      <c r="D99" s="35" t="s">
        <v>638</v>
      </c>
      <c r="E99" s="35" t="s">
        <v>620</v>
      </c>
      <c r="G99" s="32"/>
      <c r="H99" s="32"/>
      <c r="I99" s="35"/>
      <c r="J99" s="35"/>
    </row>
    <row r="100" spans="2:10">
      <c r="B100" s="32">
        <v>100</v>
      </c>
      <c r="C100" s="32" t="s">
        <v>842</v>
      </c>
      <c r="D100" s="35" t="s">
        <v>651</v>
      </c>
      <c r="E100" s="35" t="s">
        <v>620</v>
      </c>
      <c r="G100" s="32"/>
      <c r="H100" s="32"/>
      <c r="I100" s="35"/>
      <c r="J100" s="35"/>
    </row>
    <row r="101" spans="2:10">
      <c r="B101" s="32">
        <v>300</v>
      </c>
      <c r="C101" s="32" t="s">
        <v>842</v>
      </c>
      <c r="D101" s="35" t="s">
        <v>660</v>
      </c>
      <c r="E101" s="35" t="s">
        <v>620</v>
      </c>
      <c r="G101" s="32"/>
      <c r="H101" s="32"/>
      <c r="I101" s="35"/>
      <c r="J101" s="35"/>
    </row>
    <row r="102" spans="2:10">
      <c r="B102" s="32">
        <v>300</v>
      </c>
      <c r="C102" s="32" t="s">
        <v>842</v>
      </c>
      <c r="D102" s="35" t="s">
        <v>661</v>
      </c>
      <c r="E102" s="35" t="s">
        <v>620</v>
      </c>
      <c r="G102" s="32"/>
      <c r="H102" s="32"/>
      <c r="I102" s="35"/>
      <c r="J102" s="35"/>
    </row>
    <row r="103" spans="2:10">
      <c r="B103" s="32">
        <v>300</v>
      </c>
      <c r="C103" s="32" t="s">
        <v>842</v>
      </c>
      <c r="D103" s="35" t="s">
        <v>667</v>
      </c>
      <c r="E103" s="35" t="s">
        <v>620</v>
      </c>
      <c r="G103" s="32"/>
      <c r="H103" s="32"/>
      <c r="I103" s="35"/>
      <c r="J103" s="35"/>
    </row>
    <row r="104" spans="2:10">
      <c r="B104" s="32">
        <v>300</v>
      </c>
      <c r="C104" s="32" t="s">
        <v>842</v>
      </c>
      <c r="D104" s="35" t="s">
        <v>850</v>
      </c>
      <c r="E104" s="35" t="s">
        <v>620</v>
      </c>
      <c r="G104" s="32"/>
      <c r="H104" s="32"/>
      <c r="I104" s="35"/>
      <c r="J104" s="35"/>
    </row>
    <row r="105" spans="2:10">
      <c r="B105" s="32">
        <v>24</v>
      </c>
      <c r="C105" s="32" t="s">
        <v>842</v>
      </c>
      <c r="D105" s="35" t="s">
        <v>624</v>
      </c>
      <c r="E105" s="35" t="s">
        <v>620</v>
      </c>
      <c r="G105" s="32"/>
      <c r="H105" s="32"/>
      <c r="I105" s="35"/>
      <c r="J105" s="35"/>
    </row>
    <row r="106" spans="2:10">
      <c r="B106" s="32">
        <v>50</v>
      </c>
      <c r="C106" s="32" t="s">
        <v>842</v>
      </c>
      <c r="D106" s="35" t="s">
        <v>631</v>
      </c>
      <c r="E106" s="35" t="s">
        <v>620</v>
      </c>
      <c r="G106" s="32"/>
      <c r="H106" s="32"/>
      <c r="I106" s="35"/>
      <c r="J106" s="35"/>
    </row>
    <row r="107" spans="2:10">
      <c r="B107" s="32">
        <v>12</v>
      </c>
      <c r="C107" s="32" t="s">
        <v>842</v>
      </c>
      <c r="D107" s="35" t="s">
        <v>634</v>
      </c>
      <c r="E107" s="35" t="s">
        <v>620</v>
      </c>
      <c r="G107" s="32"/>
      <c r="H107" s="32"/>
      <c r="I107" s="35"/>
      <c r="J107" s="35"/>
    </row>
    <row r="108" spans="2:10">
      <c r="B108" s="32">
        <v>12</v>
      </c>
      <c r="C108" s="32" t="s">
        <v>842</v>
      </c>
      <c r="D108" s="35" t="s">
        <v>635</v>
      </c>
      <c r="E108" s="35" t="s">
        <v>620</v>
      </c>
      <c r="G108" s="32"/>
      <c r="H108" s="32"/>
      <c r="I108" s="35"/>
      <c r="J108" s="35"/>
    </row>
    <row r="109" spans="2:10">
      <c r="B109" s="32">
        <v>12</v>
      </c>
      <c r="C109" s="32" t="s">
        <v>842</v>
      </c>
      <c r="D109" s="35" t="s">
        <v>639</v>
      </c>
      <c r="E109" s="35" t="s">
        <v>620</v>
      </c>
      <c r="G109" s="32"/>
      <c r="H109" s="32"/>
      <c r="I109" s="35"/>
      <c r="J109" s="35"/>
    </row>
    <row r="110" spans="2:10">
      <c r="B110" s="32">
        <v>12</v>
      </c>
      <c r="C110" s="32" t="s">
        <v>842</v>
      </c>
      <c r="D110" s="35" t="s">
        <v>640</v>
      </c>
      <c r="E110" s="35" t="s">
        <v>620</v>
      </c>
      <c r="G110" s="32"/>
      <c r="H110" s="32"/>
      <c r="I110" s="35"/>
      <c r="J110" s="35"/>
    </row>
    <row r="111" spans="2:10">
      <c r="B111" s="32">
        <v>12</v>
      </c>
      <c r="C111" s="32" t="s">
        <v>842</v>
      </c>
      <c r="D111" s="35" t="s">
        <v>650</v>
      </c>
      <c r="E111" s="35" t="s">
        <v>620</v>
      </c>
      <c r="G111" s="32"/>
      <c r="H111" s="32"/>
      <c r="I111" s="35"/>
      <c r="J111" s="35"/>
    </row>
    <row r="112" spans="2:10">
      <c r="B112" s="32">
        <v>12</v>
      </c>
      <c r="C112" s="32" t="s">
        <v>842</v>
      </c>
      <c r="D112" s="35" t="s">
        <v>653</v>
      </c>
      <c r="E112" s="35" t="s">
        <v>620</v>
      </c>
      <c r="G112" s="32"/>
      <c r="H112" s="32"/>
      <c r="I112" s="35"/>
      <c r="J112" s="35"/>
    </row>
    <row r="113" spans="2:10">
      <c r="B113" s="32">
        <v>12</v>
      </c>
      <c r="C113" s="32" t="s">
        <v>842</v>
      </c>
      <c r="D113" s="35" t="s">
        <v>673</v>
      </c>
      <c r="E113" s="35" t="s">
        <v>620</v>
      </c>
      <c r="G113" s="32"/>
      <c r="H113" s="32"/>
      <c r="I113" s="35"/>
      <c r="J113" s="35"/>
    </row>
    <row r="114" spans="2:10">
      <c r="B114" s="32"/>
      <c r="C114" s="32"/>
      <c r="D114" s="37"/>
      <c r="E114" s="37"/>
      <c r="G114" s="32"/>
      <c r="H114" s="32"/>
      <c r="I114" s="37"/>
      <c r="J114" s="37"/>
    </row>
    <row r="115" spans="2:10">
      <c r="B115" s="32"/>
      <c r="C115" s="32"/>
      <c r="D115" s="32" t="s">
        <v>851</v>
      </c>
      <c r="E115" s="32"/>
      <c r="G115" s="32"/>
      <c r="H115" s="32"/>
      <c r="I115" s="32" t="s">
        <v>851</v>
      </c>
      <c r="J115" s="32"/>
    </row>
    <row r="116" spans="2:10">
      <c r="B116" s="32">
        <v>200</v>
      </c>
      <c r="C116" s="32" t="s">
        <v>842</v>
      </c>
      <c r="D116" s="35" t="s">
        <v>676</v>
      </c>
      <c r="E116" s="35" t="s">
        <v>677</v>
      </c>
      <c r="G116" s="32"/>
      <c r="H116" s="32"/>
      <c r="I116" s="35"/>
      <c r="J116" s="35"/>
    </row>
    <row r="117" spans="2:10">
      <c r="B117" s="32">
        <v>100</v>
      </c>
      <c r="C117" s="32" t="s">
        <v>842</v>
      </c>
      <c r="D117" s="35" t="s">
        <v>678</v>
      </c>
      <c r="E117" s="35" t="s">
        <v>852</v>
      </c>
      <c r="G117" s="32"/>
      <c r="H117" s="32"/>
      <c r="I117" s="35"/>
      <c r="J117" s="35"/>
    </row>
    <row r="118" spans="2:10">
      <c r="B118" s="32">
        <v>500</v>
      </c>
      <c r="C118" s="32" t="s">
        <v>842</v>
      </c>
      <c r="D118" s="35" t="s">
        <v>682</v>
      </c>
      <c r="E118" s="35" t="s">
        <v>683</v>
      </c>
      <c r="G118" s="32">
        <v>100</v>
      </c>
      <c r="H118" s="32" t="s">
        <v>842</v>
      </c>
      <c r="I118" s="35" t="s">
        <v>682</v>
      </c>
      <c r="J118" s="35" t="s">
        <v>683</v>
      </c>
    </row>
    <row r="119" spans="2:10">
      <c r="B119" s="32">
        <v>1000</v>
      </c>
      <c r="C119" s="32" t="s">
        <v>842</v>
      </c>
      <c r="D119" s="35" t="s">
        <v>684</v>
      </c>
      <c r="E119" s="35" t="s">
        <v>685</v>
      </c>
      <c r="G119" s="32">
        <v>200</v>
      </c>
      <c r="H119" s="32" t="s">
        <v>842</v>
      </c>
      <c r="I119" s="35" t="s">
        <v>684</v>
      </c>
      <c r="J119" s="35" t="s">
        <v>685</v>
      </c>
    </row>
    <row r="120" spans="2:10">
      <c r="B120" s="32">
        <v>1000</v>
      </c>
      <c r="C120" s="32" t="s">
        <v>842</v>
      </c>
      <c r="D120" s="35" t="s">
        <v>686</v>
      </c>
      <c r="E120" s="35" t="s">
        <v>687</v>
      </c>
      <c r="G120" s="32"/>
      <c r="H120" s="32"/>
      <c r="I120" s="35"/>
      <c r="J120" s="35"/>
    </row>
    <row r="121" spans="2:10">
      <c r="B121" s="32">
        <v>500</v>
      </c>
      <c r="C121" s="32" t="s">
        <v>842</v>
      </c>
      <c r="D121" s="35" t="s">
        <v>691</v>
      </c>
      <c r="E121" s="35" t="s">
        <v>689</v>
      </c>
      <c r="G121" s="32">
        <v>50</v>
      </c>
      <c r="H121" s="32" t="s">
        <v>842</v>
      </c>
      <c r="I121" s="35" t="s">
        <v>691</v>
      </c>
      <c r="J121" s="35" t="s">
        <v>689</v>
      </c>
    </row>
    <row r="122" spans="2:10">
      <c r="B122" s="32">
        <v>500</v>
      </c>
      <c r="C122" s="32" t="s">
        <v>842</v>
      </c>
      <c r="D122" s="35" t="s">
        <v>692</v>
      </c>
      <c r="E122" s="35" t="s">
        <v>689</v>
      </c>
      <c r="G122" s="32">
        <v>50</v>
      </c>
      <c r="H122" s="32" t="s">
        <v>842</v>
      </c>
      <c r="I122" s="35" t="s">
        <v>692</v>
      </c>
      <c r="J122" s="35" t="s">
        <v>689</v>
      </c>
    </row>
    <row r="123" spans="2:10">
      <c r="B123" s="32">
        <v>5000</v>
      </c>
      <c r="C123" s="32" t="s">
        <v>842</v>
      </c>
      <c r="D123" s="35" t="s">
        <v>715</v>
      </c>
      <c r="E123" s="35" t="s">
        <v>716</v>
      </c>
      <c r="G123" s="32">
        <v>1000</v>
      </c>
      <c r="H123" s="32" t="s">
        <v>842</v>
      </c>
      <c r="I123" s="35" t="s">
        <v>715</v>
      </c>
      <c r="J123" s="35" t="s">
        <v>716</v>
      </c>
    </row>
    <row r="124" spans="2:10">
      <c r="B124" s="32">
        <v>1000</v>
      </c>
      <c r="C124" s="32" t="s">
        <v>842</v>
      </c>
      <c r="D124" s="35" t="s">
        <v>718</v>
      </c>
      <c r="E124" s="35" t="s">
        <v>719</v>
      </c>
      <c r="G124" s="32"/>
      <c r="H124" s="32"/>
      <c r="I124" s="35"/>
      <c r="J124" s="35"/>
    </row>
    <row r="125" spans="2:10">
      <c r="B125" s="32">
        <v>2000</v>
      </c>
      <c r="C125" s="32" t="s">
        <v>842</v>
      </c>
      <c r="D125" s="35" t="s">
        <v>720</v>
      </c>
      <c r="E125" s="35" t="s">
        <v>716</v>
      </c>
      <c r="G125" s="32"/>
      <c r="H125" s="32"/>
      <c r="I125" s="35"/>
      <c r="J125" s="35"/>
    </row>
    <row r="126" spans="2:10">
      <c r="B126" s="32">
        <v>5000</v>
      </c>
      <c r="C126" s="32" t="s">
        <v>842</v>
      </c>
      <c r="D126" s="35" t="s">
        <v>724</v>
      </c>
      <c r="E126" s="35" t="s">
        <v>722</v>
      </c>
      <c r="G126" s="32"/>
      <c r="H126" s="32"/>
      <c r="I126" s="35"/>
      <c r="J126" s="35"/>
    </row>
    <row r="127" spans="2:10">
      <c r="B127" s="32">
        <v>5000</v>
      </c>
      <c r="C127" s="32" t="s">
        <v>842</v>
      </c>
      <c r="D127" s="35" t="s">
        <v>725</v>
      </c>
      <c r="E127" s="35" t="s">
        <v>722</v>
      </c>
      <c r="G127" s="32">
        <v>1000</v>
      </c>
      <c r="H127" s="32" t="s">
        <v>842</v>
      </c>
      <c r="I127" s="35" t="s">
        <v>725</v>
      </c>
      <c r="J127" s="35" t="s">
        <v>722</v>
      </c>
    </row>
    <row r="128" spans="2:10">
      <c r="B128" s="32">
        <v>5000</v>
      </c>
      <c r="C128" s="32" t="s">
        <v>842</v>
      </c>
      <c r="D128" s="35" t="s">
        <v>726</v>
      </c>
      <c r="E128" s="35" t="s">
        <v>727</v>
      </c>
      <c r="G128" s="32">
        <v>1000</v>
      </c>
      <c r="H128" s="32" t="s">
        <v>842</v>
      </c>
      <c r="I128" s="35" t="s">
        <v>726</v>
      </c>
      <c r="J128" s="35" t="s">
        <v>727</v>
      </c>
    </row>
    <row r="129" spans="2:10">
      <c r="B129" s="32">
        <v>5000</v>
      </c>
      <c r="C129" s="32" t="s">
        <v>842</v>
      </c>
      <c r="D129" s="35" t="s">
        <v>728</v>
      </c>
      <c r="E129" s="35" t="s">
        <v>722</v>
      </c>
      <c r="G129" s="32"/>
      <c r="H129" s="32"/>
      <c r="I129" s="35"/>
      <c r="J129" s="35"/>
    </row>
    <row r="130" spans="2:10">
      <c r="B130" s="32">
        <v>5000</v>
      </c>
      <c r="C130" s="32" t="s">
        <v>842</v>
      </c>
      <c r="D130" s="35" t="s">
        <v>729</v>
      </c>
      <c r="E130" s="35" t="s">
        <v>722</v>
      </c>
      <c r="G130" s="32">
        <v>1000</v>
      </c>
      <c r="H130" s="32" t="s">
        <v>842</v>
      </c>
      <c r="I130" s="35" t="s">
        <v>729</v>
      </c>
      <c r="J130" s="35" t="s">
        <v>722</v>
      </c>
    </row>
    <row r="131" spans="2:10">
      <c r="B131" s="32">
        <v>500</v>
      </c>
      <c r="C131" s="32" t="s">
        <v>842</v>
      </c>
      <c r="D131" s="35" t="s">
        <v>734</v>
      </c>
      <c r="E131" s="35" t="s">
        <v>735</v>
      </c>
      <c r="G131" s="32"/>
      <c r="H131" s="32"/>
      <c r="I131" s="35"/>
      <c r="J131" s="35"/>
    </row>
    <row r="132" spans="2:10">
      <c r="B132" s="32">
        <v>3000</v>
      </c>
      <c r="C132" s="32" t="s">
        <v>842</v>
      </c>
      <c r="D132" s="35" t="s">
        <v>744</v>
      </c>
      <c r="E132" s="35" t="s">
        <v>745</v>
      </c>
      <c r="G132" s="32">
        <v>1000</v>
      </c>
      <c r="H132" s="32" t="s">
        <v>842</v>
      </c>
      <c r="I132" s="35" t="s">
        <v>744</v>
      </c>
      <c r="J132" s="35" t="s">
        <v>745</v>
      </c>
    </row>
    <row r="133" spans="2:10">
      <c r="B133" s="32">
        <v>2000</v>
      </c>
      <c r="C133" s="32" t="s">
        <v>842</v>
      </c>
      <c r="D133" s="35" t="s">
        <v>746</v>
      </c>
      <c r="E133" s="35" t="s">
        <v>745</v>
      </c>
      <c r="G133" s="32">
        <v>500</v>
      </c>
      <c r="H133" s="32" t="s">
        <v>842</v>
      </c>
      <c r="I133" s="35" t="s">
        <v>746</v>
      </c>
      <c r="J133" s="35" t="s">
        <v>745</v>
      </c>
    </row>
    <row r="134" spans="2:10">
      <c r="B134" s="32">
        <v>500</v>
      </c>
      <c r="C134" s="32" t="s">
        <v>842</v>
      </c>
      <c r="D134" s="35" t="s">
        <v>748</v>
      </c>
      <c r="E134" s="35" t="s">
        <v>749</v>
      </c>
      <c r="G134" s="32"/>
      <c r="H134" s="32"/>
      <c r="I134" s="35"/>
      <c r="J134" s="35"/>
    </row>
    <row r="135" spans="2:10">
      <c r="B135" s="32">
        <v>500</v>
      </c>
      <c r="C135" s="32" t="s">
        <v>842</v>
      </c>
      <c r="D135" s="35" t="s">
        <v>750</v>
      </c>
      <c r="E135" s="35" t="s">
        <v>749</v>
      </c>
      <c r="G135" s="32">
        <v>200</v>
      </c>
      <c r="H135" s="32" t="s">
        <v>842</v>
      </c>
      <c r="I135" s="35" t="s">
        <v>750</v>
      </c>
      <c r="J135" s="35" t="s">
        <v>749</v>
      </c>
    </row>
    <row r="136" spans="2:10">
      <c r="B136" s="32">
        <v>500</v>
      </c>
      <c r="C136" s="32" t="s">
        <v>842</v>
      </c>
      <c r="D136" s="35" t="s">
        <v>853</v>
      </c>
      <c r="E136" s="35" t="s">
        <v>757</v>
      </c>
      <c r="G136" s="32">
        <v>200</v>
      </c>
      <c r="H136" s="32" t="s">
        <v>842</v>
      </c>
      <c r="I136" s="35" t="s">
        <v>853</v>
      </c>
      <c r="J136" s="35" t="s">
        <v>757</v>
      </c>
    </row>
    <row r="137" spans="2:10">
      <c r="B137" s="32">
        <v>500</v>
      </c>
      <c r="C137" s="32" t="s">
        <v>842</v>
      </c>
      <c r="D137" s="35" t="s">
        <v>854</v>
      </c>
      <c r="E137" s="35" t="s">
        <v>759</v>
      </c>
      <c r="G137" s="32">
        <v>100</v>
      </c>
      <c r="H137" s="32" t="s">
        <v>842</v>
      </c>
      <c r="I137" s="35" t="s">
        <v>854</v>
      </c>
      <c r="J137" s="35" t="s">
        <v>759</v>
      </c>
    </row>
    <row r="138" spans="2:10">
      <c r="B138" s="32">
        <v>3000</v>
      </c>
      <c r="C138" s="32" t="s">
        <v>842</v>
      </c>
      <c r="D138" s="35" t="s">
        <v>765</v>
      </c>
      <c r="E138" s="35" t="s">
        <v>742</v>
      </c>
      <c r="G138" s="32"/>
      <c r="H138" s="32"/>
      <c r="I138" s="35"/>
      <c r="J138" s="35"/>
    </row>
    <row r="139" spans="2:10">
      <c r="B139" s="32">
        <v>2000</v>
      </c>
      <c r="C139" s="32" t="s">
        <v>842</v>
      </c>
      <c r="D139" s="35" t="s">
        <v>777</v>
      </c>
      <c r="E139" s="35" t="s">
        <v>778</v>
      </c>
      <c r="G139" s="32"/>
      <c r="H139" s="32"/>
      <c r="I139" s="35"/>
      <c r="J139" s="35"/>
    </row>
    <row r="140" spans="2:10">
      <c r="B140" s="32">
        <v>500</v>
      </c>
      <c r="C140" s="32" t="s">
        <v>842</v>
      </c>
      <c r="D140" s="35" t="s">
        <v>779</v>
      </c>
      <c r="E140" s="35" t="s">
        <v>709</v>
      </c>
      <c r="G140" s="32">
        <v>100</v>
      </c>
      <c r="H140" s="32" t="s">
        <v>842</v>
      </c>
      <c r="I140" s="35" t="s">
        <v>779</v>
      </c>
      <c r="J140" s="35" t="s">
        <v>709</v>
      </c>
    </row>
    <row r="141" spans="2:10">
      <c r="B141" s="32">
        <v>3000</v>
      </c>
      <c r="C141" s="32" t="s">
        <v>842</v>
      </c>
      <c r="D141" s="35" t="s">
        <v>780</v>
      </c>
      <c r="E141" s="35" t="s">
        <v>781</v>
      </c>
      <c r="G141" s="32">
        <v>1000</v>
      </c>
      <c r="H141" s="32" t="s">
        <v>842</v>
      </c>
      <c r="I141" s="35" t="s">
        <v>780</v>
      </c>
      <c r="J141" s="35" t="s">
        <v>781</v>
      </c>
    </row>
    <row r="142" spans="2:10">
      <c r="B142" s="32">
        <v>3000</v>
      </c>
      <c r="C142" s="32" t="s">
        <v>842</v>
      </c>
      <c r="D142" s="35" t="s">
        <v>782</v>
      </c>
      <c r="E142" s="35" t="s">
        <v>781</v>
      </c>
      <c r="G142" s="32">
        <v>1000</v>
      </c>
      <c r="H142" s="32" t="s">
        <v>842</v>
      </c>
      <c r="I142" s="35" t="s">
        <v>782</v>
      </c>
      <c r="J142" s="35" t="s">
        <v>781</v>
      </c>
    </row>
    <row r="143" spans="2:10">
      <c r="B143" s="32">
        <v>3000</v>
      </c>
      <c r="C143" s="32" t="s">
        <v>842</v>
      </c>
      <c r="D143" s="35" t="s">
        <v>783</v>
      </c>
      <c r="E143" s="35" t="s">
        <v>781</v>
      </c>
      <c r="G143" s="32">
        <v>1000</v>
      </c>
      <c r="H143" s="32" t="s">
        <v>842</v>
      </c>
      <c r="I143" s="35" t="s">
        <v>783</v>
      </c>
      <c r="J143" s="35" t="s">
        <v>781</v>
      </c>
    </row>
    <row r="144" spans="2:10">
      <c r="B144" s="32">
        <v>5000</v>
      </c>
      <c r="C144" s="32" t="s">
        <v>842</v>
      </c>
      <c r="D144" s="35" t="s">
        <v>784</v>
      </c>
      <c r="E144" s="35" t="s">
        <v>677</v>
      </c>
      <c r="G144" s="32">
        <v>1000</v>
      </c>
      <c r="H144" s="32" t="s">
        <v>842</v>
      </c>
      <c r="I144" s="35" t="s">
        <v>784</v>
      </c>
      <c r="J144" s="35" t="s">
        <v>677</v>
      </c>
    </row>
    <row r="145" spans="2:10">
      <c r="B145" s="32">
        <v>5000</v>
      </c>
      <c r="C145" s="32" t="s">
        <v>842</v>
      </c>
      <c r="D145" s="35" t="s">
        <v>785</v>
      </c>
      <c r="E145" s="35" t="s">
        <v>677</v>
      </c>
      <c r="G145" s="32">
        <v>1000</v>
      </c>
      <c r="H145" s="32" t="s">
        <v>842</v>
      </c>
      <c r="I145" s="35" t="s">
        <v>785</v>
      </c>
      <c r="J145" s="35" t="s">
        <v>677</v>
      </c>
    </row>
    <row r="146" spans="2:10">
      <c r="B146" s="32">
        <v>5000</v>
      </c>
      <c r="C146" s="32" t="s">
        <v>842</v>
      </c>
      <c r="D146" s="35" t="s">
        <v>786</v>
      </c>
      <c r="E146" s="35" t="s">
        <v>677</v>
      </c>
      <c r="G146" s="32">
        <v>1000</v>
      </c>
      <c r="H146" s="32" t="s">
        <v>842</v>
      </c>
      <c r="I146" s="35" t="s">
        <v>786</v>
      </c>
      <c r="J146" s="35" t="s">
        <v>677</v>
      </c>
    </row>
    <row r="147" spans="2:10">
      <c r="B147" s="32">
        <v>5000</v>
      </c>
      <c r="C147" s="32" t="s">
        <v>842</v>
      </c>
      <c r="D147" s="35" t="s">
        <v>787</v>
      </c>
      <c r="E147" s="35" t="s">
        <v>677</v>
      </c>
      <c r="G147" s="32">
        <v>1000</v>
      </c>
      <c r="H147" s="32" t="s">
        <v>842</v>
      </c>
      <c r="I147" s="35" t="s">
        <v>787</v>
      </c>
      <c r="J147" s="35" t="s">
        <v>677</v>
      </c>
    </row>
    <row r="148" spans="2:10">
      <c r="B148" s="32">
        <v>500</v>
      </c>
      <c r="C148" s="32" t="s">
        <v>842</v>
      </c>
      <c r="D148" s="35" t="s">
        <v>789</v>
      </c>
      <c r="E148" s="35" t="s">
        <v>683</v>
      </c>
      <c r="G148" s="32"/>
      <c r="H148" s="32"/>
      <c r="I148" s="35"/>
      <c r="J148" s="35"/>
    </row>
    <row r="149" spans="2:10">
      <c r="B149" s="32">
        <v>50</v>
      </c>
      <c r="C149" s="32" t="s">
        <v>842</v>
      </c>
      <c r="D149" s="35" t="s">
        <v>678</v>
      </c>
      <c r="E149" s="35" t="s">
        <v>681</v>
      </c>
      <c r="G149" s="32"/>
      <c r="H149" s="32"/>
      <c r="I149" s="35"/>
      <c r="J149" s="35"/>
    </row>
    <row r="150" spans="2:10">
      <c r="B150" s="32">
        <v>50</v>
      </c>
      <c r="C150" s="32" t="s">
        <v>842</v>
      </c>
      <c r="D150" s="35" t="s">
        <v>690</v>
      </c>
      <c r="E150" s="35" t="s">
        <v>689</v>
      </c>
      <c r="G150" s="32"/>
      <c r="H150" s="32"/>
      <c r="I150" s="35"/>
      <c r="J150" s="35"/>
    </row>
    <row r="151" ht="30" spans="2:10">
      <c r="B151" s="32">
        <v>20</v>
      </c>
      <c r="C151" s="32" t="s">
        <v>842</v>
      </c>
      <c r="D151" s="35" t="s">
        <v>705</v>
      </c>
      <c r="E151" s="35" t="s">
        <v>706</v>
      </c>
      <c r="G151" s="32"/>
      <c r="H151" s="32"/>
      <c r="I151" s="35"/>
      <c r="J151" s="35"/>
    </row>
    <row r="152" spans="2:10">
      <c r="B152" s="32">
        <v>20</v>
      </c>
      <c r="C152" s="32" t="s">
        <v>842</v>
      </c>
      <c r="D152" s="35" t="s">
        <v>708</v>
      </c>
      <c r="E152" s="35" t="s">
        <v>709</v>
      </c>
      <c r="G152" s="32"/>
      <c r="H152" s="32"/>
      <c r="I152" s="35"/>
      <c r="J152" s="35"/>
    </row>
    <row r="153" spans="2:10">
      <c r="B153" s="32">
        <v>20</v>
      </c>
      <c r="C153" s="32" t="s">
        <v>842</v>
      </c>
      <c r="D153" s="35" t="s">
        <v>710</v>
      </c>
      <c r="E153" s="35" t="s">
        <v>709</v>
      </c>
      <c r="G153" s="32"/>
      <c r="H153" s="32"/>
      <c r="I153" s="35"/>
      <c r="J153" s="35"/>
    </row>
    <row r="154" ht="30" spans="2:10">
      <c r="B154" s="32">
        <v>50</v>
      </c>
      <c r="C154" s="32" t="s">
        <v>842</v>
      </c>
      <c r="D154" s="35" t="s">
        <v>711</v>
      </c>
      <c r="E154" s="34"/>
      <c r="G154" s="32"/>
      <c r="H154" s="32"/>
      <c r="I154" s="35"/>
      <c r="J154" s="34"/>
    </row>
    <row r="155" spans="2:10">
      <c r="B155" s="32">
        <v>1000</v>
      </c>
      <c r="C155" s="32" t="s">
        <v>842</v>
      </c>
      <c r="D155" s="35" t="s">
        <v>713</v>
      </c>
      <c r="E155" s="34"/>
      <c r="G155" s="32"/>
      <c r="H155" s="32"/>
      <c r="I155" s="35"/>
      <c r="J155" s="34"/>
    </row>
    <row r="156" spans="2:10">
      <c r="B156" s="32">
        <v>100</v>
      </c>
      <c r="C156" s="32" t="s">
        <v>842</v>
      </c>
      <c r="D156" s="35" t="s">
        <v>714</v>
      </c>
      <c r="E156" s="34"/>
      <c r="G156" s="32"/>
      <c r="H156" s="32"/>
      <c r="I156" s="35"/>
      <c r="J156" s="34"/>
    </row>
    <row r="157" ht="30" spans="2:10">
      <c r="B157" s="32">
        <v>20</v>
      </c>
      <c r="C157" s="32" t="s">
        <v>842</v>
      </c>
      <c r="D157" s="35" t="s">
        <v>731</v>
      </c>
      <c r="E157" s="35" t="s">
        <v>732</v>
      </c>
      <c r="G157" s="32"/>
      <c r="H157" s="32"/>
      <c r="I157" s="35"/>
      <c r="J157" s="35"/>
    </row>
    <row r="158" spans="2:10">
      <c r="B158" s="32">
        <v>20</v>
      </c>
      <c r="C158" s="32" t="s">
        <v>842</v>
      </c>
      <c r="D158" s="35" t="s">
        <v>739</v>
      </c>
      <c r="E158" s="35" t="s">
        <v>740</v>
      </c>
      <c r="G158" s="32"/>
      <c r="H158" s="32"/>
      <c r="I158" s="35"/>
      <c r="J158" s="35"/>
    </row>
    <row r="159" spans="2:10">
      <c r="B159" s="32">
        <v>20</v>
      </c>
      <c r="C159" s="32" t="s">
        <v>842</v>
      </c>
      <c r="D159" s="35" t="s">
        <v>741</v>
      </c>
      <c r="E159" s="35" t="s">
        <v>742</v>
      </c>
      <c r="G159" s="32"/>
      <c r="H159" s="32"/>
      <c r="I159" s="35"/>
      <c r="J159" s="35"/>
    </row>
    <row r="160" spans="2:10">
      <c r="B160" s="32">
        <v>500</v>
      </c>
      <c r="C160" s="32" t="s">
        <v>842</v>
      </c>
      <c r="D160" s="35" t="s">
        <v>743</v>
      </c>
      <c r="E160" s="35" t="s">
        <v>737</v>
      </c>
      <c r="G160" s="32"/>
      <c r="H160" s="32"/>
      <c r="I160" s="35"/>
      <c r="J160" s="35"/>
    </row>
    <row r="161" spans="2:10">
      <c r="B161" s="32">
        <v>200</v>
      </c>
      <c r="C161" s="32" t="s">
        <v>842</v>
      </c>
      <c r="D161" s="35" t="s">
        <v>855</v>
      </c>
      <c r="E161" s="35" t="s">
        <v>757</v>
      </c>
      <c r="G161" s="32"/>
      <c r="H161" s="32"/>
      <c r="I161" s="35"/>
      <c r="J161" s="35"/>
    </row>
    <row r="162" spans="2:10">
      <c r="B162" s="32">
        <v>200</v>
      </c>
      <c r="C162" s="32" t="s">
        <v>842</v>
      </c>
      <c r="D162" s="35" t="s">
        <v>763</v>
      </c>
      <c r="E162" s="35" t="s">
        <v>759</v>
      </c>
      <c r="G162" s="32"/>
      <c r="H162" s="32"/>
      <c r="I162" s="35"/>
      <c r="J162" s="35"/>
    </row>
    <row r="163" spans="2:10">
      <c r="B163" s="32">
        <v>3000</v>
      </c>
      <c r="C163" s="32" t="s">
        <v>842</v>
      </c>
      <c r="D163" s="35" t="s">
        <v>766</v>
      </c>
      <c r="E163" s="35" t="s">
        <v>742</v>
      </c>
      <c r="G163" s="32"/>
      <c r="H163" s="32"/>
      <c r="I163" s="35"/>
      <c r="J163" s="35"/>
    </row>
    <row r="164" spans="2:10">
      <c r="B164" s="32">
        <v>200</v>
      </c>
      <c r="C164" s="32" t="s">
        <v>842</v>
      </c>
      <c r="D164" s="35" t="s">
        <v>767</v>
      </c>
      <c r="E164" s="34"/>
      <c r="G164" s="32">
        <v>20</v>
      </c>
      <c r="H164" s="32" t="s">
        <v>842</v>
      </c>
      <c r="I164" s="35" t="s">
        <v>767</v>
      </c>
      <c r="J164" s="34"/>
    </row>
    <row r="165" spans="2:10">
      <c r="B165" s="32">
        <v>200</v>
      </c>
      <c r="C165" s="32" t="s">
        <v>842</v>
      </c>
      <c r="D165" s="35" t="s">
        <v>768</v>
      </c>
      <c r="E165" s="34"/>
      <c r="G165" s="32">
        <v>20</v>
      </c>
      <c r="H165" s="32" t="s">
        <v>842</v>
      </c>
      <c r="I165" s="35" t="s">
        <v>768</v>
      </c>
      <c r="J165" s="34"/>
    </row>
    <row r="166" spans="2:10">
      <c r="B166" s="32">
        <v>50</v>
      </c>
      <c r="C166" s="32" t="s">
        <v>842</v>
      </c>
      <c r="D166" s="35" t="s">
        <v>770</v>
      </c>
      <c r="E166" s="35" t="s">
        <v>722</v>
      </c>
      <c r="G166" s="32"/>
      <c r="H166" s="32"/>
      <c r="I166" s="35"/>
      <c r="J166" s="35"/>
    </row>
    <row r="167" spans="2:10">
      <c r="B167" s="32">
        <v>200</v>
      </c>
      <c r="C167" s="32" t="s">
        <v>842</v>
      </c>
      <c r="D167" s="35" t="s">
        <v>771</v>
      </c>
      <c r="E167" s="35" t="s">
        <v>722</v>
      </c>
      <c r="G167" s="32">
        <v>100</v>
      </c>
      <c r="H167" s="32" t="s">
        <v>842</v>
      </c>
      <c r="I167" s="35" t="s">
        <v>771</v>
      </c>
      <c r="J167" s="35" t="s">
        <v>722</v>
      </c>
    </row>
    <row r="168" ht="30" spans="2:10">
      <c r="B168" s="32">
        <v>20</v>
      </c>
      <c r="C168" s="32" t="s">
        <v>842</v>
      </c>
      <c r="D168" s="35" t="s">
        <v>772</v>
      </c>
      <c r="E168" s="35" t="s">
        <v>732</v>
      </c>
      <c r="G168" s="32"/>
      <c r="H168" s="32"/>
      <c r="I168" s="35"/>
      <c r="J168" s="35"/>
    </row>
    <row r="169" spans="2:10">
      <c r="B169" s="32">
        <v>500</v>
      </c>
      <c r="C169" s="32" t="s">
        <v>842</v>
      </c>
      <c r="D169" s="35" t="s">
        <v>791</v>
      </c>
      <c r="E169" s="35" t="s">
        <v>792</v>
      </c>
      <c r="G169" s="32">
        <v>20</v>
      </c>
      <c r="H169" s="32" t="s">
        <v>842</v>
      </c>
      <c r="I169" s="35" t="s">
        <v>791</v>
      </c>
      <c r="J169" s="35" t="s">
        <v>792</v>
      </c>
    </row>
    <row r="170" spans="2:10">
      <c r="B170" s="32">
        <v>500</v>
      </c>
      <c r="C170" s="32" t="s">
        <v>842</v>
      </c>
      <c r="D170" s="35" t="s">
        <v>793</v>
      </c>
      <c r="E170" s="35" t="s">
        <v>794</v>
      </c>
      <c r="G170" s="32">
        <v>20</v>
      </c>
      <c r="H170" s="32" t="s">
        <v>842</v>
      </c>
      <c r="I170" s="35" t="s">
        <v>793</v>
      </c>
      <c r="J170" s="35" t="s">
        <v>794</v>
      </c>
    </row>
  </sheetData>
  <mergeCells count="16">
    <mergeCell ref="B1:E1"/>
    <mergeCell ref="G1:J1"/>
    <mergeCell ref="D2:E2"/>
    <mergeCell ref="I2:J2"/>
    <mergeCell ref="D3:E3"/>
    <mergeCell ref="I3:J3"/>
    <mergeCell ref="D43:E43"/>
    <mergeCell ref="I43:J43"/>
    <mergeCell ref="D79:E79"/>
    <mergeCell ref="I79:J79"/>
    <mergeCell ref="D84:E84"/>
    <mergeCell ref="I84:J84"/>
    <mergeCell ref="D97:E97"/>
    <mergeCell ref="I97:J97"/>
    <mergeCell ref="D115:E115"/>
    <mergeCell ref="I115:J115"/>
  </mergeCells>
  <pageMargins left="0.75" right="0.75" top="1" bottom="1" header="0.5" footer="0.5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topLeftCell="A13" workbookViewId="0">
      <selection activeCell="B17" sqref="B17"/>
    </sheetView>
  </sheetViews>
  <sheetFormatPr defaultColWidth="9" defaultRowHeight="15" outlineLevelCol="5"/>
  <cols>
    <col min="1" max="1" width="18.375" style="1" customWidth="1"/>
    <col min="2" max="2" width="29.75" style="1" customWidth="1"/>
    <col min="3" max="3" width="12.25" style="2" customWidth="1"/>
    <col min="4" max="4" width="9" style="3"/>
    <col min="5" max="5" width="10.375" style="4"/>
    <col min="6" max="6" width="9" style="5"/>
  </cols>
  <sheetData>
    <row r="1" ht="19.5" spans="1:6">
      <c r="A1" s="6" t="s">
        <v>856</v>
      </c>
      <c r="B1" s="6"/>
      <c r="C1" s="6"/>
      <c r="D1" s="6"/>
      <c r="E1" s="6"/>
      <c r="F1" s="7"/>
    </row>
    <row r="2" ht="19.5" spans="1:6">
      <c r="A2" s="6" t="s">
        <v>857</v>
      </c>
      <c r="B2" s="6"/>
      <c r="C2" s="6"/>
      <c r="D2" s="6"/>
      <c r="E2" s="6"/>
      <c r="F2" s="7"/>
    </row>
    <row r="3" ht="30" spans="1:6">
      <c r="A3" s="8" t="s">
        <v>3</v>
      </c>
      <c r="B3" s="9" t="s">
        <v>4</v>
      </c>
      <c r="C3" s="10" t="s">
        <v>5</v>
      </c>
      <c r="D3" s="9" t="s">
        <v>6</v>
      </c>
      <c r="E3" s="9" t="s">
        <v>7</v>
      </c>
      <c r="F3" s="9" t="s">
        <v>858</v>
      </c>
    </row>
    <row r="4" spans="1:6">
      <c r="A4" s="11" t="s">
        <v>23</v>
      </c>
      <c r="B4" s="11" t="s">
        <v>24</v>
      </c>
      <c r="C4" s="12" t="s">
        <v>25</v>
      </c>
      <c r="D4" s="13" t="s">
        <v>26</v>
      </c>
      <c r="E4" s="14" t="s">
        <v>27</v>
      </c>
      <c r="F4" s="15">
        <v>119</v>
      </c>
    </row>
    <row r="5" spans="1:6">
      <c r="A5" s="11" t="s">
        <v>31</v>
      </c>
      <c r="B5" s="11" t="s">
        <v>32</v>
      </c>
      <c r="C5" s="12" t="s">
        <v>33</v>
      </c>
      <c r="D5" s="13" t="s">
        <v>34</v>
      </c>
      <c r="E5" s="14" t="s">
        <v>35</v>
      </c>
      <c r="F5" s="16">
        <v>64</v>
      </c>
    </row>
    <row r="6" spans="1:6">
      <c r="A6" s="11" t="s">
        <v>67</v>
      </c>
      <c r="B6" s="11" t="s">
        <v>68</v>
      </c>
      <c r="C6" s="12" t="s">
        <v>69</v>
      </c>
      <c r="D6" s="13" t="s">
        <v>34</v>
      </c>
      <c r="E6" s="14" t="s">
        <v>811</v>
      </c>
      <c r="F6" s="16">
        <v>817</v>
      </c>
    </row>
    <row r="7" spans="1:6">
      <c r="A7" s="17" t="s">
        <v>859</v>
      </c>
      <c r="B7" s="17" t="s">
        <v>860</v>
      </c>
      <c r="C7" s="18" t="s">
        <v>85</v>
      </c>
      <c r="D7" s="19" t="s">
        <v>86</v>
      </c>
      <c r="E7" s="20" t="s">
        <v>87</v>
      </c>
      <c r="F7" s="16">
        <v>4261</v>
      </c>
    </row>
    <row r="8" spans="1:6">
      <c r="A8" s="11" t="s">
        <v>121</v>
      </c>
      <c r="B8" s="11" t="s">
        <v>124</v>
      </c>
      <c r="C8" s="12" t="s">
        <v>125</v>
      </c>
      <c r="D8" s="21">
        <v>46235</v>
      </c>
      <c r="E8" s="14" t="s">
        <v>819</v>
      </c>
      <c r="F8" s="16">
        <v>1500</v>
      </c>
    </row>
    <row r="9" spans="1:6">
      <c r="A9" s="11" t="s">
        <v>171</v>
      </c>
      <c r="B9" s="11" t="s">
        <v>172</v>
      </c>
      <c r="C9" s="12" t="s">
        <v>173</v>
      </c>
      <c r="D9" s="13" t="s">
        <v>86</v>
      </c>
      <c r="E9" s="14" t="s">
        <v>174</v>
      </c>
      <c r="F9" s="16">
        <v>480</v>
      </c>
    </row>
    <row r="10" spans="1:6">
      <c r="A10" s="17" t="s">
        <v>145</v>
      </c>
      <c r="B10" s="17" t="s">
        <v>146</v>
      </c>
      <c r="C10" s="22" t="s">
        <v>147</v>
      </c>
      <c r="D10" s="23" t="s">
        <v>828</v>
      </c>
      <c r="E10" s="24">
        <v>649230803</v>
      </c>
      <c r="F10" s="16">
        <v>2726</v>
      </c>
    </row>
    <row r="11" spans="1:6">
      <c r="A11" s="17" t="s">
        <v>193</v>
      </c>
      <c r="B11" s="17" t="s">
        <v>861</v>
      </c>
      <c r="C11" s="25" t="s">
        <v>195</v>
      </c>
      <c r="D11" s="23" t="s">
        <v>26</v>
      </c>
      <c r="E11" s="24" t="s">
        <v>196</v>
      </c>
      <c r="F11" s="16">
        <v>900</v>
      </c>
    </row>
    <row r="12" spans="1:6">
      <c r="A12" s="11" t="s">
        <v>207</v>
      </c>
      <c r="B12" s="11" t="s">
        <v>208</v>
      </c>
      <c r="C12" s="12" t="s">
        <v>209</v>
      </c>
      <c r="D12" s="13" t="s">
        <v>86</v>
      </c>
      <c r="E12" s="14" t="s">
        <v>210</v>
      </c>
      <c r="F12" s="16">
        <v>90</v>
      </c>
    </row>
    <row r="13" ht="45" customHeight="1" spans="1:6">
      <c r="A13" s="11" t="s">
        <v>215</v>
      </c>
      <c r="B13" s="11" t="s">
        <v>219</v>
      </c>
      <c r="C13" s="12" t="s">
        <v>220</v>
      </c>
      <c r="D13" s="13" t="s">
        <v>34</v>
      </c>
      <c r="E13" s="14" t="s">
        <v>221</v>
      </c>
      <c r="F13" s="16">
        <v>64</v>
      </c>
    </row>
    <row r="14" spans="1:6">
      <c r="A14" s="11" t="s">
        <v>225</v>
      </c>
      <c r="B14" s="11" t="s">
        <v>226</v>
      </c>
      <c r="C14" s="12" t="s">
        <v>227</v>
      </c>
      <c r="D14" s="13" t="s">
        <v>34</v>
      </c>
      <c r="E14" s="14">
        <v>324004</v>
      </c>
      <c r="F14" s="16">
        <v>930</v>
      </c>
    </row>
    <row r="15" spans="1:6">
      <c r="A15" s="11" t="s">
        <v>234</v>
      </c>
      <c r="B15" s="11" t="s">
        <v>235</v>
      </c>
      <c r="C15" s="12" t="s">
        <v>236</v>
      </c>
      <c r="D15" s="13" t="s">
        <v>26</v>
      </c>
      <c r="E15" s="14" t="s">
        <v>237</v>
      </c>
      <c r="F15" s="16">
        <v>2300</v>
      </c>
    </row>
    <row r="16" spans="1:6">
      <c r="A16" s="11" t="s">
        <v>241</v>
      </c>
      <c r="B16" s="11" t="s">
        <v>242</v>
      </c>
      <c r="C16" s="12" t="s">
        <v>243</v>
      </c>
      <c r="D16" s="13" t="s">
        <v>86</v>
      </c>
      <c r="E16" s="14" t="s">
        <v>796</v>
      </c>
      <c r="F16" s="16">
        <v>800</v>
      </c>
    </row>
    <row r="17" spans="1:6">
      <c r="A17" s="26" t="s">
        <v>252</v>
      </c>
      <c r="B17" s="26" t="s">
        <v>253</v>
      </c>
      <c r="C17" s="27" t="s">
        <v>254</v>
      </c>
      <c r="D17" s="28">
        <v>46204</v>
      </c>
      <c r="E17" s="29">
        <v>2324145</v>
      </c>
      <c r="F17" s="16">
        <v>10</v>
      </c>
    </row>
    <row r="18" spans="1:6">
      <c r="A18" s="11" t="s">
        <v>264</v>
      </c>
      <c r="B18" s="11" t="s">
        <v>265</v>
      </c>
      <c r="C18" s="12" t="s">
        <v>266</v>
      </c>
      <c r="D18" s="13" t="s">
        <v>828</v>
      </c>
      <c r="E18" s="14">
        <v>230836</v>
      </c>
      <c r="F18" s="16">
        <v>123</v>
      </c>
    </row>
    <row r="19" spans="1:6">
      <c r="A19" s="11" t="s">
        <v>291</v>
      </c>
      <c r="B19" s="11" t="s">
        <v>292</v>
      </c>
      <c r="C19" s="12"/>
      <c r="D19" s="13" t="s">
        <v>34</v>
      </c>
      <c r="E19" s="14" t="s">
        <v>862</v>
      </c>
      <c r="F19" s="16">
        <v>52</v>
      </c>
    </row>
    <row r="20" spans="1:6">
      <c r="A20" s="11" t="s">
        <v>320</v>
      </c>
      <c r="B20" s="11" t="s">
        <v>329</v>
      </c>
      <c r="C20" s="12" t="s">
        <v>330</v>
      </c>
      <c r="D20" s="13" t="s">
        <v>828</v>
      </c>
      <c r="E20" s="14" t="s">
        <v>829</v>
      </c>
      <c r="F20" s="16">
        <v>100</v>
      </c>
    </row>
    <row r="21" spans="1:6">
      <c r="A21" s="17" t="s">
        <v>863</v>
      </c>
      <c r="B21" s="17" t="s">
        <v>864</v>
      </c>
      <c r="C21" s="12" t="s">
        <v>865</v>
      </c>
      <c r="D21" s="13" t="s">
        <v>828</v>
      </c>
      <c r="E21" s="14" t="s">
        <v>866</v>
      </c>
      <c r="F21" s="16">
        <v>2000</v>
      </c>
    </row>
    <row r="22" spans="1:6">
      <c r="A22" s="11" t="s">
        <v>361</v>
      </c>
      <c r="B22" s="11" t="s">
        <v>362</v>
      </c>
      <c r="C22" s="12" t="s">
        <v>363</v>
      </c>
      <c r="D22" s="13" t="s">
        <v>867</v>
      </c>
      <c r="E22" s="14" t="s">
        <v>868</v>
      </c>
      <c r="F22" s="16">
        <v>393</v>
      </c>
    </row>
    <row r="23" spans="1:6">
      <c r="A23" s="12" t="s">
        <v>411</v>
      </c>
      <c r="B23" s="12" t="s">
        <v>412</v>
      </c>
      <c r="C23" s="12" t="s">
        <v>413</v>
      </c>
      <c r="D23" s="13" t="s">
        <v>86</v>
      </c>
      <c r="E23" s="14" t="s">
        <v>869</v>
      </c>
      <c r="F23" s="16">
        <v>39</v>
      </c>
    </row>
    <row r="24" spans="1:6">
      <c r="A24" s="11" t="s">
        <v>430</v>
      </c>
      <c r="B24" s="11" t="s">
        <v>431</v>
      </c>
      <c r="C24" s="12" t="s">
        <v>432</v>
      </c>
      <c r="D24" s="13" t="s">
        <v>26</v>
      </c>
      <c r="E24" s="14">
        <v>2310615</v>
      </c>
      <c r="F24" s="16">
        <v>273</v>
      </c>
    </row>
  </sheetData>
  <mergeCells count="2">
    <mergeCell ref="A1:F1"/>
    <mergeCell ref="A2:F2"/>
  </mergeCells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INVENTORY</vt:lpstr>
      <vt:lpstr>OPD MEDS</vt:lpstr>
      <vt:lpstr>REQUEST</vt:lpstr>
      <vt:lpstr>NEAR EXPIRY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MBT Eye Clinic</dc:creator>
  <cp:lastModifiedBy>Cess Cantoria</cp:lastModifiedBy>
  <dcterms:created xsi:type="dcterms:W3CDTF">2026-01-08T04:50:00Z</dcterms:created>
  <cp:lastPrinted>2026-01-08T06:22:00Z</cp:lastPrinted>
  <dcterms:modified xsi:type="dcterms:W3CDTF">2026-10-05T13:54:50Z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CDD2DDB2C582404B92581541DBA99A60_13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